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en/Documents/GitHub/bighorn_paleogene_proxies/data/excel files/"/>
    </mc:Choice>
  </mc:AlternateContent>
  <xr:revisionPtr revIDLastSave="0" documentId="13_ncr:9_{4F5A0D6F-C39B-134C-AFD1-6DFBD608BDAC}" xr6:coauthVersionLast="47" xr6:coauthVersionMax="47" xr10:uidLastSave="{00000000-0000-0000-0000-000000000000}"/>
  <bookViews>
    <workbookView xWindow="-2660" yWindow="-24000" windowWidth="38400" windowHeight="24000" xr2:uid="{9FD0029D-1AEA-D543-BB52-D2B07C00542F}"/>
  </bookViews>
  <sheets>
    <sheet name="approx_age_mdl_PETM_PC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D26" i="1" s="1"/>
  <c r="C27" i="1"/>
  <c r="D27" i="1" s="1"/>
  <c r="C28" i="1"/>
  <c r="D28" i="1" s="1"/>
  <c r="C29" i="1"/>
  <c r="D29" i="1" s="1"/>
  <c r="C30" i="1"/>
  <c r="D30" i="1" s="1"/>
  <c r="C31" i="1"/>
  <c r="D31" i="1" s="1"/>
  <c r="C32" i="1"/>
  <c r="D32" i="1" s="1"/>
  <c r="C21" i="1"/>
  <c r="D21" i="1" s="1"/>
  <c r="C22" i="1"/>
  <c r="D22" i="1" s="1"/>
  <c r="C23" i="1"/>
  <c r="D23" i="1" s="1"/>
  <c r="C24" i="1"/>
  <c r="D24" i="1" s="1"/>
  <c r="C25" i="1"/>
  <c r="D25" i="1" s="1"/>
  <c r="C20" i="1"/>
  <c r="D20" i="1" s="1"/>
  <c r="C19" i="1"/>
  <c r="D19" i="1" s="1"/>
  <c r="C3" i="1"/>
  <c r="D3" i="1" s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5" i="1"/>
  <c r="D15" i="1" s="1"/>
</calcChain>
</file>

<file path=xl/sharedStrings.xml><?xml version="1.0" encoding="utf-8"?>
<sst xmlns="http://schemas.openxmlformats.org/spreadsheetml/2006/main" count="74" uniqueCount="38">
  <si>
    <t>Depth_m_PCB_core</t>
  </si>
  <si>
    <t>est_Depth_m_PCB_outcrop</t>
  </si>
  <si>
    <t>basis</t>
  </si>
  <si>
    <t>Marker</t>
  </si>
  <si>
    <t>Approx. Age (Ma)</t>
  </si>
  <si>
    <t>Top Red B</t>
  </si>
  <si>
    <t>Top Red A</t>
  </si>
  <si>
    <t>Purple-4</t>
  </si>
  <si>
    <t>Purple-3</t>
  </si>
  <si>
    <t>U.D. Red A &amp; B</t>
  </si>
  <si>
    <t>Purple-2</t>
  </si>
  <si>
    <t>L.D. Red A &amp; B</t>
  </si>
  <si>
    <t>Purp.-red ms.</t>
  </si>
  <si>
    <t>Purple ms.</t>
  </si>
  <si>
    <t>General precision of K-Pg meter level framework: +/- 5m (Gingerich 2010)</t>
  </si>
  <si>
    <t>height_above_onset</t>
  </si>
  <si>
    <t>Age_Ma_Westerhold_2018</t>
  </si>
  <si>
    <t>Biohorizon B (Wa-4/5 boundary, Clyde et al., (2007)</t>
  </si>
  <si>
    <t>Age_Ma_best_estimate</t>
  </si>
  <si>
    <t>Strat level (m)</t>
  </si>
  <si>
    <t>Upper Double-Red B</t>
  </si>
  <si>
    <t>Lower Double-Red B</t>
  </si>
  <si>
    <t>Brown mudstone</t>
  </si>
  <si>
    <t>Purple-0</t>
  </si>
  <si>
    <t>Thin red mudstone</t>
  </si>
  <si>
    <t>Red mudstones</t>
  </si>
  <si>
    <t>Purplish red mudstone</t>
  </si>
  <si>
    <t>Purple mudstone</t>
  </si>
  <si>
    <t>Brown ms.</t>
  </si>
  <si>
    <t>Red: AI estimated</t>
  </si>
  <si>
    <t>Green: MLA validated</t>
  </si>
  <si>
    <t>Polecat Bench CIE onset, Westerhold et al. (2020)</t>
  </si>
  <si>
    <t xml:space="preserve">Belt Ash sanadine Ar36/Ar40 dating, SE PCB, Secord et al. (2006). Age reported as 59.0 +/- 0.3 Ma. Given </t>
  </si>
  <si>
    <t xml:space="preserve">Correlation from PCB drill core to PCB outcrop, hung on onset PETM CIE, based on drill core age model by  Westerhold et al. (2020) </t>
  </si>
  <si>
    <t>base C25n, SE PCB, datum: Secord et al. (2006), age: GTS 2020</t>
  </si>
  <si>
    <t>base C25r, SE PCB, datum: Secord et al. (2006), age: GTS 2020</t>
  </si>
  <si>
    <t>base C26n, SE PCB, datum: Secord et al. (2006), age: GTS 2020</t>
  </si>
  <si>
    <t>base C26r, SE PCB, datum: Secord et al. (2006), age: GTS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</si>
</sst>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B050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0" fillId="33" borderId="0" xfId="0" applyFill="1"/>
    <xf numFmtId="0" fontId="18" fillId="0" borderId="0" xfId="0" applyFont="1"/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F88B8-3D78-1543-819E-E0085EFD7581}">
  <dimension ref="A1:P52"/>
  <sheetViews>
    <sheetView tabSelected="1" zoomScale="125" workbookViewId="0">
      <selection activeCell="E37" sqref="D1:E37"/>
    </sheetView>
  </sheetViews>
  <sheetFormatPr baseColWidth="10" defaultRowHeight="16" x14ac:dyDescent="0.2"/>
  <cols>
    <col min="1" max="1" width="28.33203125" customWidth="1"/>
    <col min="2" max="2" width="17.5" bestFit="1" customWidth="1"/>
    <col min="3" max="3" width="18.33203125" bestFit="1" customWidth="1"/>
    <col min="4" max="4" width="23.6640625" bestFit="1" customWidth="1"/>
    <col min="5" max="5" width="19.83203125" bestFit="1" customWidth="1"/>
    <col min="12" max="12" width="18.33203125" bestFit="1" customWidth="1"/>
    <col min="15" max="15" width="17.5" customWidth="1"/>
  </cols>
  <sheetData>
    <row r="1" spans="1:6" x14ac:dyDescent="0.2">
      <c r="A1" t="s">
        <v>16</v>
      </c>
      <c r="B1" t="s">
        <v>0</v>
      </c>
      <c r="C1" t="s">
        <v>15</v>
      </c>
      <c r="D1" t="s">
        <v>1</v>
      </c>
      <c r="E1" t="s">
        <v>18</v>
      </c>
      <c r="F1" t="s">
        <v>2</v>
      </c>
    </row>
    <row r="2" spans="1:6" x14ac:dyDescent="0.2">
      <c r="D2">
        <v>2200</v>
      </c>
      <c r="E2">
        <v>54</v>
      </c>
      <c r="F2" t="s">
        <v>17</v>
      </c>
    </row>
    <row r="3" spans="1:6" x14ac:dyDescent="0.2">
      <c r="A3">
        <v>55.625999999999998</v>
      </c>
      <c r="B3">
        <v>7.9</v>
      </c>
      <c r="C3">
        <f t="shared" ref="C3:C14" si="0">$B$18-B3</f>
        <v>110.8</v>
      </c>
      <c r="D3">
        <f t="shared" ref="D3:D16" si="1">D$18+C3</f>
        <v>1613.8</v>
      </c>
      <c r="E3">
        <v>55.625999999999998</v>
      </c>
      <c r="F3" t="s">
        <v>33</v>
      </c>
    </row>
    <row r="4" spans="1:6" x14ac:dyDescent="0.2">
      <c r="A4">
        <v>55.646999999999998</v>
      </c>
      <c r="B4">
        <v>16.100000000000001</v>
      </c>
      <c r="C4">
        <f t="shared" si="0"/>
        <v>102.6</v>
      </c>
      <c r="D4">
        <f t="shared" si="1"/>
        <v>1605.6</v>
      </c>
      <c r="E4">
        <v>55.646999999999998</v>
      </c>
      <c r="F4" t="s">
        <v>33</v>
      </c>
    </row>
    <row r="5" spans="1:6" x14ac:dyDescent="0.2">
      <c r="A5">
        <v>55.667999999999999</v>
      </c>
      <c r="B5">
        <v>23.5</v>
      </c>
      <c r="C5">
        <f t="shared" si="0"/>
        <v>95.2</v>
      </c>
      <c r="D5">
        <f t="shared" si="1"/>
        <v>1598.2</v>
      </c>
      <c r="E5">
        <v>55.667999999999999</v>
      </c>
      <c r="F5" t="s">
        <v>33</v>
      </c>
    </row>
    <row r="6" spans="1:6" x14ac:dyDescent="0.2">
      <c r="A6">
        <v>55.689</v>
      </c>
      <c r="B6">
        <v>31.2</v>
      </c>
      <c r="C6">
        <f t="shared" si="0"/>
        <v>87.5</v>
      </c>
      <c r="D6">
        <f t="shared" si="1"/>
        <v>1590.5</v>
      </c>
      <c r="E6">
        <v>55.689</v>
      </c>
      <c r="F6" t="s">
        <v>33</v>
      </c>
    </row>
    <row r="7" spans="1:6" x14ac:dyDescent="0.2">
      <c r="A7">
        <v>55.71</v>
      </c>
      <c r="B7">
        <v>38.200000000000003</v>
      </c>
      <c r="C7">
        <f t="shared" si="0"/>
        <v>80.5</v>
      </c>
      <c r="D7">
        <f t="shared" si="1"/>
        <v>1583.5</v>
      </c>
      <c r="E7">
        <v>55.71</v>
      </c>
      <c r="F7" t="s">
        <v>33</v>
      </c>
    </row>
    <row r="8" spans="1:6" x14ac:dyDescent="0.2">
      <c r="A8">
        <v>55.731000000000002</v>
      </c>
      <c r="B8">
        <v>44.6</v>
      </c>
      <c r="C8">
        <f t="shared" si="0"/>
        <v>74.099999999999994</v>
      </c>
      <c r="D8">
        <f t="shared" si="1"/>
        <v>1577.1</v>
      </c>
      <c r="E8">
        <v>55.731000000000002</v>
      </c>
      <c r="F8" t="s">
        <v>33</v>
      </c>
    </row>
    <row r="9" spans="1:6" x14ac:dyDescent="0.2">
      <c r="A9">
        <v>55.752000000000002</v>
      </c>
      <c r="B9">
        <v>51</v>
      </c>
      <c r="C9">
        <f t="shared" si="0"/>
        <v>67.7</v>
      </c>
      <c r="D9">
        <f t="shared" si="1"/>
        <v>1570.7</v>
      </c>
      <c r="E9">
        <v>55.752000000000002</v>
      </c>
      <c r="F9" t="s">
        <v>33</v>
      </c>
    </row>
    <row r="10" spans="1:6" x14ac:dyDescent="0.2">
      <c r="A10">
        <v>55.773000000000003</v>
      </c>
      <c r="B10">
        <v>58.2</v>
      </c>
      <c r="C10">
        <f t="shared" si="0"/>
        <v>60.5</v>
      </c>
      <c r="D10">
        <f t="shared" si="1"/>
        <v>1563.5</v>
      </c>
      <c r="E10">
        <v>55.773000000000003</v>
      </c>
      <c r="F10" t="s">
        <v>33</v>
      </c>
    </row>
    <row r="11" spans="1:6" x14ac:dyDescent="0.2">
      <c r="A11">
        <v>55.793999999999997</v>
      </c>
      <c r="B11">
        <v>65.849999999999994</v>
      </c>
      <c r="C11">
        <f t="shared" si="0"/>
        <v>52.850000000000009</v>
      </c>
      <c r="D11">
        <f t="shared" si="1"/>
        <v>1555.85</v>
      </c>
      <c r="E11">
        <v>55.793999999999997</v>
      </c>
      <c r="F11" t="s">
        <v>33</v>
      </c>
    </row>
    <row r="12" spans="1:6" x14ac:dyDescent="0.2">
      <c r="A12">
        <v>55.814999999999998</v>
      </c>
      <c r="B12">
        <v>74.400000000000006</v>
      </c>
      <c r="C12">
        <f t="shared" si="0"/>
        <v>44.3</v>
      </c>
      <c r="D12">
        <f t="shared" si="1"/>
        <v>1547.3</v>
      </c>
      <c r="E12">
        <v>55.814999999999998</v>
      </c>
      <c r="F12" t="s">
        <v>33</v>
      </c>
    </row>
    <row r="13" spans="1:6" x14ac:dyDescent="0.2">
      <c r="A13">
        <v>55.835999999999999</v>
      </c>
      <c r="B13">
        <v>82.6</v>
      </c>
      <c r="C13">
        <f t="shared" si="0"/>
        <v>36.100000000000009</v>
      </c>
      <c r="D13">
        <f t="shared" si="1"/>
        <v>1539.1</v>
      </c>
      <c r="E13">
        <v>55.835999999999999</v>
      </c>
      <c r="F13" t="s">
        <v>33</v>
      </c>
    </row>
    <row r="14" spans="1:6" x14ac:dyDescent="0.2">
      <c r="A14">
        <v>55.856999999999999</v>
      </c>
      <c r="B14">
        <v>91.1</v>
      </c>
      <c r="C14">
        <f t="shared" si="0"/>
        <v>27.600000000000009</v>
      </c>
      <c r="D14">
        <f t="shared" si="1"/>
        <v>1530.6</v>
      </c>
      <c r="E14">
        <v>55.856999999999999</v>
      </c>
      <c r="F14" t="s">
        <v>33</v>
      </c>
    </row>
    <row r="15" spans="1:6" x14ac:dyDescent="0.2">
      <c r="A15">
        <v>55.878</v>
      </c>
      <c r="B15">
        <v>99.7</v>
      </c>
      <c r="C15">
        <f>$B$18-B15</f>
        <v>19</v>
      </c>
      <c r="D15">
        <f t="shared" si="1"/>
        <v>1522</v>
      </c>
      <c r="E15">
        <v>55.878</v>
      </c>
      <c r="F15" t="s">
        <v>33</v>
      </c>
    </row>
    <row r="16" spans="1:6" x14ac:dyDescent="0.2">
      <c r="A16">
        <v>55.899000000000001</v>
      </c>
      <c r="B16">
        <v>107.5</v>
      </c>
      <c r="C16">
        <f t="shared" ref="C16:C17" si="2">$B$18-B16</f>
        <v>11.200000000000003</v>
      </c>
      <c r="D16">
        <f t="shared" si="1"/>
        <v>1514.2</v>
      </c>
      <c r="E16">
        <v>55.899000000000001</v>
      </c>
      <c r="F16" t="s">
        <v>33</v>
      </c>
    </row>
    <row r="17" spans="1:14" x14ac:dyDescent="0.2">
      <c r="A17">
        <v>55.92</v>
      </c>
      <c r="B17">
        <v>115.35</v>
      </c>
      <c r="C17">
        <f t="shared" si="2"/>
        <v>3.3500000000000085</v>
      </c>
      <c r="D17">
        <f>D$18+C17</f>
        <v>1506.35</v>
      </c>
      <c r="E17">
        <v>55.92</v>
      </c>
      <c r="F17" t="s">
        <v>33</v>
      </c>
    </row>
    <row r="18" spans="1:14" x14ac:dyDescent="0.2">
      <c r="A18" s="2">
        <v>55.93</v>
      </c>
      <c r="B18" s="2">
        <v>118.7</v>
      </c>
      <c r="C18" s="2">
        <v>0</v>
      </c>
      <c r="D18" s="2">
        <v>1503</v>
      </c>
      <c r="E18">
        <v>55.93</v>
      </c>
      <c r="F18" s="2" t="s">
        <v>31</v>
      </c>
    </row>
    <row r="19" spans="1:14" x14ac:dyDescent="0.2">
      <c r="A19">
        <v>55.94</v>
      </c>
      <c r="B19">
        <v>123</v>
      </c>
      <c r="C19">
        <f>$B$18-B19</f>
        <v>-4.2999999999999972</v>
      </c>
      <c r="D19">
        <f>$D$18+C19</f>
        <v>1498.7</v>
      </c>
      <c r="E19">
        <v>55.94</v>
      </c>
      <c r="F19" t="s">
        <v>33</v>
      </c>
      <c r="K19" t="s">
        <v>14</v>
      </c>
    </row>
    <row r="20" spans="1:14" x14ac:dyDescent="0.2">
      <c r="A20">
        <v>55.960999999999999</v>
      </c>
      <c r="B20">
        <v>130</v>
      </c>
      <c r="C20">
        <f>$B$18-B20</f>
        <v>-11.299999999999997</v>
      </c>
      <c r="D20">
        <f>$D$18+C20</f>
        <v>1491.7</v>
      </c>
      <c r="E20">
        <v>55.960999999999999</v>
      </c>
      <c r="F20" t="s">
        <v>33</v>
      </c>
    </row>
    <row r="21" spans="1:14" x14ac:dyDescent="0.2">
      <c r="A21">
        <v>55.981999999999999</v>
      </c>
      <c r="B21">
        <v>139.30000000000001</v>
      </c>
      <c r="C21">
        <f t="shared" ref="C21:C32" si="3">$B$18-B21</f>
        <v>-20.600000000000009</v>
      </c>
      <c r="D21">
        <f>$D$18+C21</f>
        <v>1482.4</v>
      </c>
      <c r="E21">
        <v>55.981999999999999</v>
      </c>
      <c r="F21" t="s">
        <v>33</v>
      </c>
    </row>
    <row r="22" spans="1:14" x14ac:dyDescent="0.2">
      <c r="A22">
        <v>56.003</v>
      </c>
      <c r="B22">
        <v>146.5</v>
      </c>
      <c r="C22">
        <f t="shared" si="3"/>
        <v>-27.799999999999997</v>
      </c>
      <c r="D22">
        <f t="shared" ref="D22:D32" si="4">$D$18+C22</f>
        <v>1475.2</v>
      </c>
      <c r="E22">
        <v>56.003</v>
      </c>
      <c r="F22" t="s">
        <v>33</v>
      </c>
    </row>
    <row r="23" spans="1:14" x14ac:dyDescent="0.2">
      <c r="A23">
        <v>56.024000000000001</v>
      </c>
      <c r="B23">
        <v>155</v>
      </c>
      <c r="C23">
        <f t="shared" si="3"/>
        <v>-36.299999999999997</v>
      </c>
      <c r="D23">
        <f t="shared" si="4"/>
        <v>1466.7</v>
      </c>
      <c r="E23">
        <v>56.024000000000001</v>
      </c>
      <c r="F23" t="s">
        <v>33</v>
      </c>
    </row>
    <row r="24" spans="1:14" x14ac:dyDescent="0.2">
      <c r="A24">
        <v>56.045000000000002</v>
      </c>
      <c r="B24">
        <v>164</v>
      </c>
      <c r="C24">
        <f t="shared" si="3"/>
        <v>-45.3</v>
      </c>
      <c r="D24">
        <f t="shared" si="4"/>
        <v>1457.7</v>
      </c>
      <c r="E24">
        <v>56.045000000000002</v>
      </c>
      <c r="F24" t="s">
        <v>33</v>
      </c>
      <c r="N24" t="s">
        <v>29</v>
      </c>
    </row>
    <row r="25" spans="1:14" x14ac:dyDescent="0.2">
      <c r="A25">
        <v>56.066000000000003</v>
      </c>
      <c r="B25">
        <v>171.2</v>
      </c>
      <c r="C25">
        <f t="shared" si="3"/>
        <v>-52.499999999999986</v>
      </c>
      <c r="D25">
        <f t="shared" si="4"/>
        <v>1450.5</v>
      </c>
      <c r="E25">
        <v>56.066000000000003</v>
      </c>
      <c r="F25" t="s">
        <v>33</v>
      </c>
      <c r="N25" t="s">
        <v>30</v>
      </c>
    </row>
    <row r="26" spans="1:14" x14ac:dyDescent="0.2">
      <c r="A26">
        <v>56.087000000000003</v>
      </c>
      <c r="B26">
        <v>181.7</v>
      </c>
      <c r="C26">
        <f t="shared" si="3"/>
        <v>-62.999999999999986</v>
      </c>
      <c r="D26">
        <f t="shared" si="4"/>
        <v>1440</v>
      </c>
      <c r="E26">
        <v>56.087000000000003</v>
      </c>
      <c r="F26" t="s">
        <v>33</v>
      </c>
    </row>
    <row r="27" spans="1:14" x14ac:dyDescent="0.2">
      <c r="A27">
        <v>56.107999999999997</v>
      </c>
      <c r="B27">
        <v>189.5</v>
      </c>
      <c r="C27">
        <f t="shared" si="3"/>
        <v>-70.8</v>
      </c>
      <c r="D27">
        <f t="shared" si="4"/>
        <v>1432.2</v>
      </c>
      <c r="E27">
        <v>56.107999999999997</v>
      </c>
      <c r="F27" t="s">
        <v>33</v>
      </c>
    </row>
    <row r="28" spans="1:14" x14ac:dyDescent="0.2">
      <c r="A28">
        <v>56.170999999999999</v>
      </c>
      <c r="B28">
        <v>208.7</v>
      </c>
      <c r="C28">
        <f t="shared" si="3"/>
        <v>-89.999999999999986</v>
      </c>
      <c r="D28">
        <f t="shared" si="4"/>
        <v>1413</v>
      </c>
      <c r="E28">
        <v>56.170999999999999</v>
      </c>
      <c r="F28" t="s">
        <v>33</v>
      </c>
    </row>
    <row r="29" spans="1:14" x14ac:dyDescent="0.2">
      <c r="A29">
        <v>56.234000000000002</v>
      </c>
      <c r="B29">
        <v>228.6</v>
      </c>
      <c r="C29">
        <f t="shared" si="3"/>
        <v>-109.89999999999999</v>
      </c>
      <c r="D29">
        <f t="shared" si="4"/>
        <v>1393.1</v>
      </c>
      <c r="E29">
        <v>56.234000000000002</v>
      </c>
      <c r="F29" t="s">
        <v>33</v>
      </c>
    </row>
    <row r="30" spans="1:14" x14ac:dyDescent="0.2">
      <c r="A30">
        <v>56.255000000000003</v>
      </c>
      <c r="B30">
        <v>235.7</v>
      </c>
      <c r="C30">
        <f t="shared" si="3"/>
        <v>-116.99999999999999</v>
      </c>
      <c r="D30">
        <f t="shared" si="4"/>
        <v>1386</v>
      </c>
      <c r="E30">
        <v>56.255000000000003</v>
      </c>
      <c r="F30" t="s">
        <v>33</v>
      </c>
    </row>
    <row r="31" spans="1:14" x14ac:dyDescent="0.2">
      <c r="A31">
        <v>56.276000000000003</v>
      </c>
      <c r="B31">
        <v>243.5</v>
      </c>
      <c r="C31">
        <f t="shared" si="3"/>
        <v>-124.8</v>
      </c>
      <c r="D31">
        <f t="shared" si="4"/>
        <v>1378.2</v>
      </c>
      <c r="E31">
        <v>56.276000000000003</v>
      </c>
      <c r="F31" t="s">
        <v>33</v>
      </c>
    </row>
    <row r="32" spans="1:14" x14ac:dyDescent="0.2">
      <c r="A32">
        <v>56.296999999999997</v>
      </c>
      <c r="B32">
        <v>251.6</v>
      </c>
      <c r="C32">
        <f t="shared" si="3"/>
        <v>-132.89999999999998</v>
      </c>
      <c r="D32">
        <f t="shared" si="4"/>
        <v>1370.1</v>
      </c>
      <c r="E32">
        <v>56.296999999999997</v>
      </c>
      <c r="F32" t="s">
        <v>33</v>
      </c>
    </row>
    <row r="33" spans="4:16" x14ac:dyDescent="0.2">
      <c r="D33">
        <v>787</v>
      </c>
      <c r="E33">
        <v>57.655999999999999</v>
      </c>
      <c r="F33" t="s">
        <v>34</v>
      </c>
    </row>
    <row r="34" spans="4:16" x14ac:dyDescent="0.2">
      <c r="D34">
        <v>470</v>
      </c>
      <c r="E34">
        <v>58.959000000000003</v>
      </c>
      <c r="F34" t="s">
        <v>35</v>
      </c>
    </row>
    <row r="35" spans="4:16" x14ac:dyDescent="0.2">
      <c r="D35">
        <v>370</v>
      </c>
      <c r="E35">
        <v>59.237000000000002</v>
      </c>
      <c r="F35" t="s">
        <v>36</v>
      </c>
    </row>
    <row r="36" spans="4:16" x14ac:dyDescent="0.2">
      <c r="D36">
        <v>331</v>
      </c>
      <c r="E36">
        <v>59.3</v>
      </c>
      <c r="F36" t="s">
        <v>32</v>
      </c>
    </row>
    <row r="37" spans="4:16" x14ac:dyDescent="0.2">
      <c r="D37">
        <v>83</v>
      </c>
      <c r="E37">
        <v>62.277999999999999</v>
      </c>
      <c r="F37" s="5" t="s">
        <v>37</v>
      </c>
    </row>
    <row r="39" spans="4:16" x14ac:dyDescent="0.2">
      <c r="L39" s="1" t="s">
        <v>3</v>
      </c>
      <c r="M39" s="1" t="s">
        <v>4</v>
      </c>
      <c r="O39" s="1" t="s">
        <v>3</v>
      </c>
      <c r="P39" s="1" t="s">
        <v>19</v>
      </c>
    </row>
    <row r="40" spans="4:16" x14ac:dyDescent="0.2">
      <c r="L40" t="s">
        <v>5</v>
      </c>
      <c r="M40" s="4">
        <v>55.777999999999999</v>
      </c>
      <c r="O40" t="s">
        <v>5</v>
      </c>
      <c r="P40" s="4">
        <v>1553.5</v>
      </c>
    </row>
    <row r="41" spans="4:16" x14ac:dyDescent="0.2">
      <c r="L41" t="s">
        <v>6</v>
      </c>
      <c r="M41" s="4">
        <v>55.796999999999997</v>
      </c>
      <c r="O41" t="s">
        <v>6</v>
      </c>
      <c r="P41" s="4">
        <v>1549.5</v>
      </c>
    </row>
    <row r="42" spans="4:16" x14ac:dyDescent="0.2">
      <c r="L42" t="s">
        <v>7</v>
      </c>
      <c r="M42" s="4">
        <v>55.817</v>
      </c>
      <c r="O42" t="s">
        <v>7</v>
      </c>
      <c r="P42" s="4">
        <v>1542</v>
      </c>
    </row>
    <row r="43" spans="4:16" x14ac:dyDescent="0.2">
      <c r="L43" t="s">
        <v>8</v>
      </c>
      <c r="M43" s="4">
        <v>55.84</v>
      </c>
      <c r="O43" t="s">
        <v>8</v>
      </c>
      <c r="P43" s="4">
        <v>1536.5</v>
      </c>
    </row>
    <row r="44" spans="4:16" x14ac:dyDescent="0.2">
      <c r="L44" t="s">
        <v>9</v>
      </c>
      <c r="M44" s="4">
        <v>55.857999999999997</v>
      </c>
      <c r="O44" t="s">
        <v>20</v>
      </c>
      <c r="P44" s="4">
        <v>1530</v>
      </c>
    </row>
    <row r="45" spans="4:16" x14ac:dyDescent="0.2">
      <c r="L45" t="s">
        <v>10</v>
      </c>
      <c r="M45" s="4">
        <v>55.883000000000003</v>
      </c>
      <c r="O45" t="s">
        <v>10</v>
      </c>
      <c r="P45" s="4">
        <v>1522</v>
      </c>
    </row>
    <row r="46" spans="4:16" x14ac:dyDescent="0.2">
      <c r="L46" t="s">
        <v>11</v>
      </c>
      <c r="M46" s="4">
        <v>55.9</v>
      </c>
      <c r="O46" t="s">
        <v>21</v>
      </c>
      <c r="P46" s="4">
        <v>1516</v>
      </c>
    </row>
    <row r="47" spans="4:16" x14ac:dyDescent="0.2">
      <c r="L47" t="s">
        <v>28</v>
      </c>
      <c r="M47" s="3">
        <v>55.914999999999999</v>
      </c>
      <c r="O47" t="s">
        <v>22</v>
      </c>
      <c r="P47" s="4">
        <v>1509</v>
      </c>
    </row>
    <row r="48" spans="4:16" x14ac:dyDescent="0.2">
      <c r="L48" t="s">
        <v>23</v>
      </c>
      <c r="M48" s="3">
        <v>55.921999999999997</v>
      </c>
      <c r="O48" t="s">
        <v>23</v>
      </c>
      <c r="P48" s="3">
        <v>1505</v>
      </c>
    </row>
    <row r="49" spans="12:16" x14ac:dyDescent="0.2">
      <c r="O49" t="s">
        <v>24</v>
      </c>
      <c r="P49" s="3">
        <v>1500</v>
      </c>
    </row>
    <row r="50" spans="12:16" x14ac:dyDescent="0.2">
      <c r="L50" t="s">
        <v>25</v>
      </c>
      <c r="M50" s="3">
        <v>55.954999999999998</v>
      </c>
      <c r="O50" t="s">
        <v>25</v>
      </c>
      <c r="P50" s="4">
        <v>1496</v>
      </c>
    </row>
    <row r="51" spans="12:16" x14ac:dyDescent="0.2">
      <c r="L51" t="s">
        <v>12</v>
      </c>
      <c r="M51" s="4">
        <v>55.984999999999999</v>
      </c>
      <c r="O51" t="s">
        <v>26</v>
      </c>
      <c r="P51" s="4">
        <v>1487</v>
      </c>
    </row>
    <row r="52" spans="12:16" x14ac:dyDescent="0.2">
      <c r="L52" t="s">
        <v>13</v>
      </c>
      <c r="M52" s="4">
        <v>56</v>
      </c>
      <c r="O52" t="s">
        <v>27</v>
      </c>
      <c r="P52" s="4">
        <v>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approx_age_mdl_PETM_PCB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Allen</dc:creator>
  <cp:lastModifiedBy>Matthew Allen</cp:lastModifiedBy>
  <dcterms:created xsi:type="dcterms:W3CDTF">2026-06-20T15:36:43Z</dcterms:created>
  <dcterms:modified xsi:type="dcterms:W3CDTF">2026-06-21T11:28:05Z</dcterms:modified>
</cp:coreProperties>
</file>
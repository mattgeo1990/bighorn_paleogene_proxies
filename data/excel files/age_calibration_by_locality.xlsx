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8_{9C4B1772-1AEE-1E4E-943C-DBD48D4D4A1A}" xr6:coauthVersionLast="47" xr6:coauthVersionMax="47" xr10:uidLastSave="{00000000-0000-0000-0000-000000000000}"/>
  <bookViews>
    <workbookView xWindow="15580" yWindow="3620" windowWidth="17820" windowHeight="14320" activeTab="2" xr2:uid="{00000000-000D-0000-FFFF-FFFF00000000}"/>
  </bookViews>
  <sheets>
    <sheet name="Clarks Fork Basin" sheetId="1" r:id="rId1"/>
    <sheet name="McCullough Peaks" sheetId="2" r:id="rId2"/>
    <sheet name="Southern Bighorn Basin" sheetId="3" r:id="rId3"/>
    <sheet name="Pg GTS2020 Magnetochr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3" i="1"/>
  <c r="D26" i="1"/>
  <c r="D12" i="1"/>
  <c r="D32" i="1"/>
  <c r="D23" i="1"/>
  <c r="D19" i="1"/>
  <c r="D29" i="1"/>
  <c r="D5" i="1"/>
  <c r="D15" i="1"/>
  <c r="D31" i="1"/>
  <c r="D21" i="1"/>
  <c r="D7" i="1"/>
  <c r="D9" i="1"/>
  <c r="D8" i="1"/>
  <c r="D24" i="1"/>
  <c r="D30" i="1"/>
  <c r="D20" i="1"/>
  <c r="D27" i="1"/>
  <c r="D11" i="1"/>
  <c r="D6" i="1"/>
  <c r="D22" i="1"/>
  <c r="D25" i="1"/>
  <c r="D13" i="1"/>
  <c r="D14" i="1"/>
  <c r="D16" i="1"/>
  <c r="D28" i="1"/>
  <c r="D4" i="1"/>
  <c r="D17" i="1"/>
  <c r="D10" i="1"/>
</calcChain>
</file>

<file path=xl/sharedStrings.xml><?xml version="1.0" encoding="utf-8"?>
<sst xmlns="http://schemas.openxmlformats.org/spreadsheetml/2006/main" count="233" uniqueCount="116">
  <si>
    <t>Event</t>
  </si>
  <si>
    <t>Age (Ma)</t>
  </si>
  <si>
    <t>Top of C24n.2n</t>
  </si>
  <si>
    <t>Base of C24n.2n</t>
  </si>
  <si>
    <t>Base of C24n.3n</t>
  </si>
  <si>
    <t>Base of Wa 0</t>
  </si>
  <si>
    <t>Age_Ma_Westerhold_2018</t>
  </si>
  <si>
    <t>Depth_m_PCB_core</t>
  </si>
  <si>
    <t>height_above_onset</t>
  </si>
  <si>
    <t>est_Depth_m_PCB_outcrop</t>
  </si>
  <si>
    <t>Age_Ma_best_estimate</t>
  </si>
  <si>
    <t>basis</t>
  </si>
  <si>
    <t>Biohorizon B (Wa-4/5 boundary, Clyde et al., (2007)</t>
  </si>
  <si>
    <t xml:space="preserve">Correlation from PCB drill core to PCB outcrop, hung on onset PETM CIE, based on drill core age model by  Westerhold et al. (2020) </t>
  </si>
  <si>
    <t>Polecat Bench CIE onset, Westerhold et al. (2020)</t>
  </si>
  <si>
    <t>General precision of K-Pg meter level framework: +/- 5m (Gingerich 2010)</t>
  </si>
  <si>
    <t>Red: AI estimated</t>
  </si>
  <si>
    <t>Green: MLA validated</t>
  </si>
  <si>
    <t>base C25n, SE PCB, datum: Secord et al. (2006), age: GTS 2020</t>
  </si>
  <si>
    <t>base C25r, SE PCB, datum: Secord et al. (2006), age: GTS 2020</t>
  </si>
  <si>
    <t>base C26n, SE PCB, datum: Secord et al. (2006), age: GTS 2020</t>
  </si>
  <si>
    <t xml:space="preserve">Belt Ash sanadine Ar36/Ar40 dating, SE PCB, Secord et al. (2006). Age reported as 59.0 +/- 0.3 Ma. Given </t>
  </si>
  <si>
    <t>base C26r, SE PCB, datum: Secord et al. (2006), age: GTS 2020</t>
  </si>
  <si>
    <t>Marker</t>
  </si>
  <si>
    <t>Approx. Age (Ma)</t>
  </si>
  <si>
    <t>Strat level (m)</t>
  </si>
  <si>
    <t>Top Red B</t>
  </si>
  <si>
    <t>Top Red A</t>
  </si>
  <si>
    <t>Purple-4</t>
  </si>
  <si>
    <t>Purple-3</t>
  </si>
  <si>
    <t>U.D. Red A &amp; B</t>
  </si>
  <si>
    <t>Upper Double-Red B</t>
  </si>
  <si>
    <t>Purple-2</t>
  </si>
  <si>
    <t>L.D. Red A &amp; B</t>
  </si>
  <si>
    <t>Lower Double-Red B</t>
  </si>
  <si>
    <t>Brown ms.</t>
  </si>
  <si>
    <t>Brown mudstone</t>
  </si>
  <si>
    <t>Purple-0</t>
  </si>
  <si>
    <t>Thin red mudstone</t>
  </si>
  <si>
    <t>Red mudstones</t>
  </si>
  <si>
    <t>Purp.-red ms.</t>
  </si>
  <si>
    <t>Purplish red mudstone</t>
  </si>
  <si>
    <t>Purple ms.</t>
  </si>
  <si>
    <t>Purple mudstone</t>
  </si>
  <si>
    <t>Clyde et al. (2007), GTS2020</t>
  </si>
  <si>
    <t>base of PETM CIE, Westerhold et al. (2018)</t>
  </si>
  <si>
    <t>Age 95% CI</t>
  </si>
  <si>
    <t>Base of C24r</t>
  </si>
  <si>
    <t>Base of C25n</t>
  </si>
  <si>
    <t>Base of C26r</t>
  </si>
  <si>
    <t>C23r</t>
  </si>
  <si>
    <t>C24n.1n</t>
  </si>
  <si>
    <t>C24n.1r</t>
  </si>
  <si>
    <t>C24n.2n</t>
  </si>
  <si>
    <t>C24n.2r</t>
  </si>
  <si>
    <t>C24n.3n</t>
  </si>
  <si>
    <t>C24r</t>
  </si>
  <si>
    <t>C25n</t>
  </si>
  <si>
    <t>C25r</t>
  </si>
  <si>
    <t>C26n</t>
  </si>
  <si>
    <t>C26r</t>
  </si>
  <si>
    <t>C27n</t>
  </si>
  <si>
    <t>C27r</t>
  </si>
  <si>
    <t>Magnetochron (Base)</t>
  </si>
  <si>
    <t>GTS2020 Age (Ma)</t>
  </si>
  <si>
    <t>Primary calibration reference (GTS2020)</t>
  </si>
  <si>
    <t>C12n</t>
  </si>
  <si>
    <t>Westerhold et al. (2014) – PEAT</t>
  </si>
  <si>
    <t>C12r</t>
  </si>
  <si>
    <t>—</t>
  </si>
  <si>
    <t>C13n</t>
  </si>
  <si>
    <t>C13r</t>
  </si>
  <si>
    <t>Westerhold et al. (2014) – PEAT (used in GTS2016)</t>
  </si>
  <si>
    <t>C15n</t>
  </si>
  <si>
    <t>C15r</t>
  </si>
  <si>
    <t>C16n.1n</t>
  </si>
  <si>
    <t>C16n.1r</t>
  </si>
  <si>
    <t>C16n.2n</t>
  </si>
  <si>
    <t>C16r</t>
  </si>
  <si>
    <t>C17n.1n</t>
  </si>
  <si>
    <t>C17n.1r</t>
  </si>
  <si>
    <t>C17n.2n</t>
  </si>
  <si>
    <t>C17n.2r</t>
  </si>
  <si>
    <t>C17n.3n</t>
  </si>
  <si>
    <t>C17r</t>
  </si>
  <si>
    <t>C18n.1n</t>
  </si>
  <si>
    <t>C18n.1r</t>
  </si>
  <si>
    <t>C18n.2n</t>
  </si>
  <si>
    <t>C18r</t>
  </si>
  <si>
    <t>C19n</t>
  </si>
  <si>
    <t>C19r</t>
  </si>
  <si>
    <t>Westerhold et al. (2017) – Site 1258</t>
  </si>
  <si>
    <t>C20n</t>
  </si>
  <si>
    <t>Dinarès-Turell et al. (2018)</t>
  </si>
  <si>
    <t>C20r</t>
  </si>
  <si>
    <t>C21n</t>
  </si>
  <si>
    <t>Francescone et al. (2019)</t>
  </si>
  <si>
    <t>C21r</t>
  </si>
  <si>
    <t>C22n</t>
  </si>
  <si>
    <t>C22r</t>
  </si>
  <si>
    <t>C23n.1n</t>
  </si>
  <si>
    <t>C23n.1r</t>
  </si>
  <si>
    <t>C23n.2n</t>
  </si>
  <si>
    <t>Hilgen et al. (2010) (used in GTS2012/2016)</t>
  </si>
  <si>
    <t>Dinarès-Turell et al. (2014)</t>
  </si>
  <si>
    <t>C28n</t>
  </si>
  <si>
    <t>C28r</t>
  </si>
  <si>
    <t>C29n</t>
  </si>
  <si>
    <t>K/Pg</t>
  </si>
  <si>
    <t>Koch2003_level_m</t>
  </si>
  <si>
    <t>Clyde2007_level_m</t>
  </si>
  <si>
    <t>Koch2003_m_above_Kpg</t>
  </si>
  <si>
    <t>Base of C24n.1r</t>
  </si>
  <si>
    <t>Base of C24n.2r</t>
  </si>
  <si>
    <t>Clyde1994_m_level</t>
  </si>
  <si>
    <t>Clyde et al. (1994), GTS2020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</si>
</sst>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2"/>
      <color theme="1"/>
      <name val="Calibri"/>
      <family val="2"/>
      <scheme val="minor"/>
    </font>
    <font>
      <b/>
      <sz val="11"/>
      <color rgb="FF17365D"/>
      <name val="Carlito"/>
    </font>
    <font>
      <sz val="10"/>
      <name val="Carlito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8"/>
      <name val="Carlito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/>
      <right/>
      <top style="thin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4" xfId="0" applyBorder="1"/>
    <xf numFmtId="0" fontId="0" fillId="3" borderId="4" xfId="0" applyFill="1" applyBorder="1"/>
    <xf numFmtId="0" fontId="1" fillId="0" borderId="4" xfId="0" applyFont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2" fillId="2" borderId="0" xfId="0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right" vertical="center"/>
    </xf>
    <xf numFmtId="1" fontId="3" fillId="0" borderId="0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1" formatCode="0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E6E6E6"/>
        </top>
        <bottom style="thin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2" formatCode="0.00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cCulloughPeaksTable" displayName="McCulloughPeaksTable" ref="A1:E20" totalsRowShown="0">
  <tableColumns count="5">
    <tableColumn id="1" xr3:uid="{00000000-0010-0000-0100-000001000000}" name="Event"/>
    <tableColumn id="5" xr3:uid="{20DF2726-B564-0B4C-8713-4172A3908FB1}" name="Clyde1994_m_level" dataDxfId="1"/>
    <tableColumn id="2" xr3:uid="{00000000-0010-0000-0100-000002000000}" name="Koch2003_m_above_Kpg"/>
    <tableColumn id="3" xr3:uid="{00000000-0010-0000-0100-000003000000}" name="Age (Ma)"/>
    <tableColumn id="4" xr3:uid="{07F9BB66-E5A1-A141-830C-4DB3E0A6414E}" name="basi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thernBighornBasinTable" displayName="SouthernBighornBasinTable" ref="A1:F8" totalsRowShown="0">
  <tableColumns count="6">
    <tableColumn id="1" xr3:uid="{00000000-0010-0000-0200-000001000000}" name="Event"/>
    <tableColumn id="6" xr3:uid="{16DF3DE9-4FE3-794F-A94A-361E5F0F69A1}" name="Clyde2007_level_m" dataDxfId="0"/>
    <tableColumn id="2" xr3:uid="{00000000-0010-0000-0200-000002000000}" name="Koch2003_level_m"/>
    <tableColumn id="3" xr3:uid="{00000000-0010-0000-0200-000003000000}" name="Age (Ma)" dataDxfId="3"/>
    <tableColumn id="5" xr3:uid="{64D1003A-685A-4E4B-9EE3-8E38496465BA}" name="Age 95% CI" dataDxfId="4"/>
    <tableColumn id="4" xr3:uid="{B40B5CC2-5ECC-6341-A42C-146CF90AEE1E}" name="basi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showGridLines="0" zoomScale="172" workbookViewId="0">
      <selection activeCell="G6" sqref="G6"/>
    </sheetView>
  </sheetViews>
  <sheetFormatPr baseColWidth="10" defaultColWidth="8.83203125" defaultRowHeight="14"/>
  <cols>
    <col min="1" max="1" width="24.1640625" customWidth="1"/>
    <col min="2" max="2" width="17.1640625" bestFit="1" customWidth="1"/>
    <col min="3" max="3" width="16.83203125" bestFit="1" customWidth="1"/>
    <col min="4" max="4" width="23" bestFit="1" customWidth="1"/>
    <col min="5" max="5" width="19.1640625" bestFit="1" customWidth="1"/>
    <col min="6" max="6" width="108.33203125" bestFit="1" customWidth="1"/>
  </cols>
  <sheetData>
    <row r="1" spans="1:16" ht="26" customHeight="1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2" customHeight="1">
      <c r="A2" s="10"/>
      <c r="B2" s="10"/>
      <c r="C2" s="10"/>
      <c r="D2" s="10">
        <v>2200</v>
      </c>
      <c r="E2" s="10">
        <v>54</v>
      </c>
      <c r="F2" s="10" t="s">
        <v>12</v>
      </c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>
      <c r="A3" s="10">
        <v>55.625999999999998</v>
      </c>
      <c r="B3" s="10">
        <v>7.9</v>
      </c>
      <c r="C3" s="10">
        <f t="shared" ref="C3:C14" si="0">$B$17-B3</f>
        <v>107.44999999999999</v>
      </c>
      <c r="D3" s="10">
        <f t="shared" ref="D3:D16" ca="1" si="1">D$17+C3</f>
        <v>1613.8</v>
      </c>
      <c r="E3" s="10">
        <v>55.625999999999998</v>
      </c>
      <c r="F3" s="10" t="s">
        <v>13</v>
      </c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>
      <c r="A4" s="10">
        <v>55.646999999999998</v>
      </c>
      <c r="B4" s="10">
        <v>16.100000000000001</v>
      </c>
      <c r="C4" s="10">
        <f t="shared" si="0"/>
        <v>99.25</v>
      </c>
      <c r="D4" s="10">
        <f t="shared" ca="1" si="1"/>
        <v>1605.6</v>
      </c>
      <c r="E4" s="10">
        <v>55.646999999999998</v>
      </c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>
      <c r="A5" s="10">
        <v>55.667999999999999</v>
      </c>
      <c r="B5" s="10">
        <v>23.5</v>
      </c>
      <c r="C5" s="10">
        <f t="shared" si="0"/>
        <v>91.85</v>
      </c>
      <c r="D5" s="10">
        <f t="shared" ca="1" si="1"/>
        <v>1598.2</v>
      </c>
      <c r="E5" s="10">
        <v>55.667999999999999</v>
      </c>
      <c r="F5" s="10" t="s">
        <v>13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>
      <c r="A6" s="10">
        <v>55.689</v>
      </c>
      <c r="B6" s="10">
        <v>31.2</v>
      </c>
      <c r="C6" s="10">
        <f t="shared" si="0"/>
        <v>84.149999999999991</v>
      </c>
      <c r="D6" s="10">
        <f t="shared" ca="1" si="1"/>
        <v>1590.5</v>
      </c>
      <c r="E6" s="10">
        <v>55.689</v>
      </c>
      <c r="F6" s="10" t="s">
        <v>13</v>
      </c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>
      <c r="A7" s="10">
        <v>55.71</v>
      </c>
      <c r="B7" s="10">
        <v>38.200000000000003</v>
      </c>
      <c r="C7" s="10">
        <f t="shared" si="0"/>
        <v>77.149999999999991</v>
      </c>
      <c r="D7" s="10">
        <f t="shared" ca="1" si="1"/>
        <v>1583.5</v>
      </c>
      <c r="E7" s="10">
        <v>55.71</v>
      </c>
      <c r="F7" s="10" t="s">
        <v>13</v>
      </c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s="10">
        <v>55.731000000000002</v>
      </c>
      <c r="B8" s="10">
        <v>44.6</v>
      </c>
      <c r="C8" s="10">
        <f t="shared" si="0"/>
        <v>70.75</v>
      </c>
      <c r="D8" s="10">
        <f t="shared" ca="1" si="1"/>
        <v>1577.1</v>
      </c>
      <c r="E8" s="10">
        <v>55.731000000000002</v>
      </c>
      <c r="F8" s="10" t="s">
        <v>13</v>
      </c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>
      <c r="A9" s="10">
        <v>55.752000000000002</v>
      </c>
      <c r="B9" s="10">
        <v>51</v>
      </c>
      <c r="C9" s="10">
        <f t="shared" si="0"/>
        <v>64.349999999999994</v>
      </c>
      <c r="D9" s="10">
        <f t="shared" ca="1" si="1"/>
        <v>1570.7</v>
      </c>
      <c r="E9" s="10">
        <v>55.752000000000002</v>
      </c>
      <c r="F9" s="10" t="s">
        <v>13</v>
      </c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>
      <c r="A10" s="10">
        <v>55.773000000000003</v>
      </c>
      <c r="B10" s="10">
        <v>58.2</v>
      </c>
      <c r="C10" s="10">
        <f t="shared" si="0"/>
        <v>57.149999999999991</v>
      </c>
      <c r="D10" s="10">
        <f t="shared" ca="1" si="1"/>
        <v>1563.5</v>
      </c>
      <c r="E10" s="10">
        <v>55.773000000000003</v>
      </c>
      <c r="F10" s="10" t="s">
        <v>13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>
      <c r="A11" s="10">
        <v>55.793999999999997</v>
      </c>
      <c r="B11" s="10">
        <v>65.849999999999994</v>
      </c>
      <c r="C11" s="10">
        <f t="shared" si="0"/>
        <v>49.5</v>
      </c>
      <c r="D11" s="10">
        <f t="shared" ca="1" si="1"/>
        <v>1555.85</v>
      </c>
      <c r="E11" s="10">
        <v>55.793999999999997</v>
      </c>
      <c r="F11" s="10" t="s">
        <v>13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>
      <c r="A12" s="10">
        <v>55.814999999999998</v>
      </c>
      <c r="B12" s="10">
        <v>74.400000000000006</v>
      </c>
      <c r="C12" s="10">
        <f t="shared" si="0"/>
        <v>40.949999999999989</v>
      </c>
      <c r="D12" s="10">
        <f t="shared" ca="1" si="1"/>
        <v>1547.3</v>
      </c>
      <c r="E12" s="10">
        <v>55.814999999999998</v>
      </c>
      <c r="F12" s="10" t="s">
        <v>13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>
      <c r="A13" s="10">
        <v>55.835999999999999</v>
      </c>
      <c r="B13" s="10">
        <v>82.6</v>
      </c>
      <c r="C13" s="10">
        <f t="shared" si="0"/>
        <v>32.75</v>
      </c>
      <c r="D13" s="10">
        <f t="shared" ca="1" si="1"/>
        <v>1539.1</v>
      </c>
      <c r="E13" s="10">
        <v>55.835999999999999</v>
      </c>
      <c r="F13" s="10" t="s">
        <v>13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>
      <c r="A14" s="10">
        <v>55.856999999999999</v>
      </c>
      <c r="B14" s="10">
        <v>91.1</v>
      </c>
      <c r="C14" s="10">
        <f t="shared" si="0"/>
        <v>24.25</v>
      </c>
      <c r="D14" s="10">
        <f t="shared" ca="1" si="1"/>
        <v>1530.6</v>
      </c>
      <c r="E14" s="10">
        <v>55.856999999999999</v>
      </c>
      <c r="F14" s="10" t="s">
        <v>13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>
      <c r="A15" s="10">
        <v>55.878</v>
      </c>
      <c r="B15" s="10">
        <v>99.7</v>
      </c>
      <c r="C15" s="10">
        <f>$B$17-B15</f>
        <v>15.649999999999991</v>
      </c>
      <c r="D15" s="10">
        <f t="shared" ca="1" si="1"/>
        <v>1522</v>
      </c>
      <c r="E15" s="10">
        <v>55.878</v>
      </c>
      <c r="F15" s="10" t="s">
        <v>13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>
      <c r="A16" s="10">
        <v>55.899000000000001</v>
      </c>
      <c r="B16" s="10">
        <v>107.5</v>
      </c>
      <c r="C16" s="10">
        <f t="shared" ref="C16:C17" si="2">$B$17-B16</f>
        <v>7.8499999999999943</v>
      </c>
      <c r="D16" s="10">
        <f t="shared" ca="1" si="1"/>
        <v>1514.2</v>
      </c>
      <c r="E16" s="10">
        <v>55.899000000000001</v>
      </c>
      <c r="F16" s="10" t="s">
        <v>13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>
      <c r="A17" s="10">
        <v>55.92</v>
      </c>
      <c r="B17" s="10">
        <v>115.35</v>
      </c>
      <c r="C17" s="10">
        <f t="shared" si="2"/>
        <v>0</v>
      </c>
      <c r="D17" s="10">
        <f ca="1">D$17+C17</f>
        <v>1506.35</v>
      </c>
      <c r="E17" s="10">
        <v>55.92</v>
      </c>
      <c r="F17" s="10" t="s">
        <v>13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>
      <c r="A18" s="11">
        <v>55.93</v>
      </c>
      <c r="B18" s="11">
        <v>118.7</v>
      </c>
      <c r="C18" s="11">
        <v>0</v>
      </c>
      <c r="D18" s="11">
        <v>1503</v>
      </c>
      <c r="E18" s="10">
        <v>55.93</v>
      </c>
      <c r="F18" s="11" t="s">
        <v>14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>
      <c r="A19" s="10">
        <v>55.94</v>
      </c>
      <c r="B19" s="10">
        <v>123</v>
      </c>
      <c r="C19" s="10">
        <f>$B$17-B19</f>
        <v>-7.6500000000000057</v>
      </c>
      <c r="D19" s="10">
        <f ca="1">$D$17+C19</f>
        <v>1498.7</v>
      </c>
      <c r="E19" s="10">
        <v>55.94</v>
      </c>
      <c r="F19" s="10" t="s">
        <v>13</v>
      </c>
      <c r="G19" s="10"/>
      <c r="H19" s="10"/>
      <c r="I19" s="10"/>
      <c r="J19" s="10"/>
      <c r="K19" s="10" t="s">
        <v>15</v>
      </c>
      <c r="L19" s="10"/>
      <c r="M19" s="10"/>
      <c r="N19" s="10"/>
      <c r="O19" s="10"/>
      <c r="P19" s="10"/>
    </row>
    <row r="20" spans="1:16">
      <c r="A20" s="10">
        <v>55.960999999999999</v>
      </c>
      <c r="B20" s="10">
        <v>130</v>
      </c>
      <c r="C20" s="10">
        <f>$B$17-B20</f>
        <v>-14.650000000000006</v>
      </c>
      <c r="D20" s="10">
        <f ca="1">$D$17+C20</f>
        <v>1491.7</v>
      </c>
      <c r="E20" s="10">
        <v>55.960999999999999</v>
      </c>
      <c r="F20" s="10" t="s">
        <v>13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>
      <c r="A21" s="10">
        <v>55.981999999999999</v>
      </c>
      <c r="B21" s="10">
        <v>139.30000000000001</v>
      </c>
      <c r="C21" s="10">
        <f t="shared" ref="C21:C32" si="3">$B$17-B21</f>
        <v>-23.950000000000017</v>
      </c>
      <c r="D21" s="10">
        <f ca="1">$D$17+C21</f>
        <v>1482.4</v>
      </c>
      <c r="E21" s="10">
        <v>55.981999999999999</v>
      </c>
      <c r="F21" s="10" t="s">
        <v>13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>
      <c r="A22" s="10">
        <v>56.003</v>
      </c>
      <c r="B22" s="10">
        <v>146.5</v>
      </c>
      <c r="C22" s="10">
        <f t="shared" si="3"/>
        <v>-31.150000000000006</v>
      </c>
      <c r="D22" s="10">
        <f t="shared" ref="D22:D32" ca="1" si="4">$D$17+C22</f>
        <v>1475.2</v>
      </c>
      <c r="E22" s="10">
        <v>56.003</v>
      </c>
      <c r="F22" s="10" t="s">
        <v>13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>
      <c r="A23" s="10">
        <v>56.024000000000001</v>
      </c>
      <c r="B23" s="10">
        <v>155</v>
      </c>
      <c r="C23" s="10">
        <f t="shared" si="3"/>
        <v>-39.650000000000006</v>
      </c>
      <c r="D23" s="10">
        <f t="shared" ca="1" si="4"/>
        <v>1466.7</v>
      </c>
      <c r="E23" s="10">
        <v>56.024000000000001</v>
      </c>
      <c r="F23" s="10" t="s">
        <v>13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>
      <c r="A24" s="10">
        <v>56.045000000000002</v>
      </c>
      <c r="B24" s="10">
        <v>164</v>
      </c>
      <c r="C24" s="10">
        <f t="shared" si="3"/>
        <v>-48.650000000000006</v>
      </c>
      <c r="D24" s="10">
        <f t="shared" ca="1" si="4"/>
        <v>1457.7</v>
      </c>
      <c r="E24" s="10">
        <v>56.045000000000002</v>
      </c>
      <c r="F24" s="10" t="s">
        <v>13</v>
      </c>
      <c r="G24" s="10"/>
      <c r="H24" s="10"/>
      <c r="I24" s="10"/>
      <c r="J24" s="10"/>
      <c r="K24" s="10"/>
      <c r="L24" s="10"/>
      <c r="M24" s="10"/>
      <c r="N24" s="10" t="s">
        <v>16</v>
      </c>
      <c r="O24" s="10"/>
      <c r="P24" s="10"/>
    </row>
    <row r="25" spans="1:16">
      <c r="A25" s="10">
        <v>56.066000000000003</v>
      </c>
      <c r="B25" s="10">
        <v>171.2</v>
      </c>
      <c r="C25" s="10">
        <f t="shared" si="3"/>
        <v>-55.849999999999994</v>
      </c>
      <c r="D25" s="10">
        <f t="shared" ca="1" si="4"/>
        <v>1450.5</v>
      </c>
      <c r="E25" s="10">
        <v>56.066000000000003</v>
      </c>
      <c r="F25" s="10" t="s">
        <v>13</v>
      </c>
      <c r="G25" s="10"/>
      <c r="H25" s="10"/>
      <c r="I25" s="10"/>
      <c r="J25" s="10"/>
      <c r="K25" s="10"/>
      <c r="L25" s="10"/>
      <c r="M25" s="10"/>
      <c r="N25" s="10" t="s">
        <v>17</v>
      </c>
      <c r="O25" s="10"/>
      <c r="P25" s="10"/>
    </row>
    <row r="26" spans="1:16">
      <c r="A26" s="10">
        <v>56.087000000000003</v>
      </c>
      <c r="B26" s="10">
        <v>181.7</v>
      </c>
      <c r="C26" s="10">
        <f t="shared" si="3"/>
        <v>-66.349999999999994</v>
      </c>
      <c r="D26" s="10">
        <f t="shared" ca="1" si="4"/>
        <v>1440</v>
      </c>
      <c r="E26" s="10">
        <v>56.087000000000003</v>
      </c>
      <c r="F26" s="10" t="s">
        <v>13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>
      <c r="A27" s="10">
        <v>56.107999999999997</v>
      </c>
      <c r="B27" s="10">
        <v>189.5</v>
      </c>
      <c r="C27" s="10">
        <f t="shared" si="3"/>
        <v>-74.150000000000006</v>
      </c>
      <c r="D27" s="10">
        <f t="shared" ca="1" si="4"/>
        <v>1432.2</v>
      </c>
      <c r="E27" s="10">
        <v>56.107999999999997</v>
      </c>
      <c r="F27" s="10" t="s">
        <v>13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>
      <c r="A28" s="10">
        <v>56.170999999999999</v>
      </c>
      <c r="B28" s="10">
        <v>208.7</v>
      </c>
      <c r="C28" s="10">
        <f t="shared" si="3"/>
        <v>-93.35</v>
      </c>
      <c r="D28" s="10">
        <f t="shared" ca="1" si="4"/>
        <v>1413</v>
      </c>
      <c r="E28" s="10">
        <v>56.170999999999999</v>
      </c>
      <c r="F28" s="10" t="s">
        <v>13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>
      <c r="A29" s="10">
        <v>56.234000000000002</v>
      </c>
      <c r="B29" s="10">
        <v>228.6</v>
      </c>
      <c r="C29" s="10">
        <f t="shared" si="3"/>
        <v>-113.25</v>
      </c>
      <c r="D29" s="10">
        <f t="shared" ca="1" si="4"/>
        <v>1393.1</v>
      </c>
      <c r="E29" s="10">
        <v>56.234000000000002</v>
      </c>
      <c r="F29" s="10" t="s">
        <v>13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>
      <c r="A30" s="10">
        <v>56.255000000000003</v>
      </c>
      <c r="B30" s="10">
        <v>235.7</v>
      </c>
      <c r="C30" s="10">
        <f t="shared" si="3"/>
        <v>-120.35</v>
      </c>
      <c r="D30" s="10">
        <f t="shared" ca="1" si="4"/>
        <v>1386</v>
      </c>
      <c r="E30" s="10">
        <v>56.255000000000003</v>
      </c>
      <c r="F30" s="10" t="s">
        <v>13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>
      <c r="A31" s="10">
        <v>56.276000000000003</v>
      </c>
      <c r="B31" s="10">
        <v>243.5</v>
      </c>
      <c r="C31" s="10">
        <f t="shared" si="3"/>
        <v>-128.15</v>
      </c>
      <c r="D31" s="10">
        <f t="shared" ca="1" si="4"/>
        <v>1378.2</v>
      </c>
      <c r="E31" s="10">
        <v>56.276000000000003</v>
      </c>
      <c r="F31" s="10" t="s">
        <v>13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>
      <c r="A32" s="10">
        <v>56.296999999999997</v>
      </c>
      <c r="B32" s="10">
        <v>251.6</v>
      </c>
      <c r="C32" s="10">
        <f t="shared" si="3"/>
        <v>-136.25</v>
      </c>
      <c r="D32" s="10">
        <f t="shared" ca="1" si="4"/>
        <v>1370.1</v>
      </c>
      <c r="E32" s="10">
        <v>56.296999999999997</v>
      </c>
      <c r="F32" s="10" t="s">
        <v>13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>
      <c r="A33" s="10"/>
      <c r="B33" s="10"/>
      <c r="C33" s="10"/>
      <c r="D33" s="10">
        <v>787</v>
      </c>
      <c r="E33" s="10">
        <v>57.655999999999999</v>
      </c>
      <c r="F33" s="10" t="s">
        <v>18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>
      <c r="A34" s="10"/>
      <c r="B34" s="10"/>
      <c r="C34" s="10"/>
      <c r="D34" s="10">
        <v>470</v>
      </c>
      <c r="E34" s="10">
        <v>58.959000000000003</v>
      </c>
      <c r="F34" s="10" t="s">
        <v>19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>
      <c r="A35" s="10"/>
      <c r="B35" s="10"/>
      <c r="C35" s="10"/>
      <c r="D35" s="10">
        <v>370</v>
      </c>
      <c r="E35" s="10">
        <v>59.237000000000002</v>
      </c>
      <c r="F35" s="10" t="s">
        <v>20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>
      <c r="A36" s="10"/>
      <c r="B36" s="10"/>
      <c r="C36" s="10"/>
      <c r="D36" s="10">
        <v>331</v>
      </c>
      <c r="E36" s="10">
        <v>59.3</v>
      </c>
      <c r="F36" s="10" t="s">
        <v>21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16">
      <c r="A37" s="10"/>
      <c r="B37" s="10"/>
      <c r="C37" s="10"/>
      <c r="D37" s="10">
        <v>83</v>
      </c>
      <c r="E37" s="10">
        <v>62.277999999999999</v>
      </c>
      <c r="F37" s="12" t="s">
        <v>22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ht="1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3" t="s">
        <v>23</v>
      </c>
      <c r="M39" s="13" t="s">
        <v>24</v>
      </c>
      <c r="N39" s="10"/>
      <c r="O39" s="13" t="s">
        <v>23</v>
      </c>
      <c r="P39" s="13" t="s">
        <v>25</v>
      </c>
    </row>
    <row r="40" spans="1:16" ht="1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 t="s">
        <v>26</v>
      </c>
      <c r="M40" s="14">
        <v>55.777999999999999</v>
      </c>
      <c r="N40" s="10"/>
      <c r="O40" s="10" t="s">
        <v>26</v>
      </c>
      <c r="P40" s="14">
        <v>1553.5</v>
      </c>
    </row>
    <row r="41" spans="1:16" ht="1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 t="s">
        <v>27</v>
      </c>
      <c r="M41" s="14">
        <v>55.796999999999997</v>
      </c>
      <c r="N41" s="10"/>
      <c r="O41" s="10" t="s">
        <v>27</v>
      </c>
      <c r="P41" s="14">
        <v>1549.5</v>
      </c>
    </row>
    <row r="42" spans="1:16" ht="1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 t="s">
        <v>28</v>
      </c>
      <c r="M42" s="14">
        <v>55.817</v>
      </c>
      <c r="N42" s="10"/>
      <c r="O42" s="10" t="s">
        <v>28</v>
      </c>
      <c r="P42" s="14">
        <v>1542</v>
      </c>
    </row>
    <row r="43" spans="1:16" ht="1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 t="s">
        <v>29</v>
      </c>
      <c r="M43" s="14">
        <v>55.84</v>
      </c>
      <c r="N43" s="10"/>
      <c r="O43" s="10" t="s">
        <v>29</v>
      </c>
      <c r="P43" s="14">
        <v>1536.5</v>
      </c>
    </row>
    <row r="44" spans="1:16" ht="1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 t="s">
        <v>30</v>
      </c>
      <c r="M44" s="14">
        <v>55.857999999999997</v>
      </c>
      <c r="N44" s="10"/>
      <c r="O44" s="10" t="s">
        <v>31</v>
      </c>
      <c r="P44" s="14">
        <v>1530</v>
      </c>
    </row>
    <row r="45" spans="1:16" ht="1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 t="s">
        <v>32</v>
      </c>
      <c r="M45" s="14">
        <v>55.883000000000003</v>
      </c>
      <c r="N45" s="10"/>
      <c r="O45" s="10" t="s">
        <v>32</v>
      </c>
      <c r="P45" s="14">
        <v>1522</v>
      </c>
    </row>
    <row r="46" spans="1:16" ht="1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 t="s">
        <v>33</v>
      </c>
      <c r="M46" s="14">
        <v>55.9</v>
      </c>
      <c r="N46" s="10"/>
      <c r="O46" s="10" t="s">
        <v>34</v>
      </c>
      <c r="P46" s="14">
        <v>1516</v>
      </c>
    </row>
    <row r="47" spans="1:16" ht="1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 t="s">
        <v>35</v>
      </c>
      <c r="M47" s="15">
        <v>55.914999999999999</v>
      </c>
      <c r="N47" s="10"/>
      <c r="O47" s="10" t="s">
        <v>36</v>
      </c>
      <c r="P47" s="14">
        <v>1509</v>
      </c>
    </row>
    <row r="48" spans="1:16" ht="1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 t="s">
        <v>37</v>
      </c>
      <c r="M48" s="15">
        <v>55.921999999999997</v>
      </c>
      <c r="N48" s="10"/>
      <c r="O48" s="10" t="s">
        <v>37</v>
      </c>
      <c r="P48" s="15">
        <v>1505</v>
      </c>
    </row>
    <row r="49" spans="1:16" ht="1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 t="s">
        <v>38</v>
      </c>
      <c r="P49" s="15">
        <v>1500</v>
      </c>
    </row>
    <row r="50" spans="1:16" ht="1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 t="s">
        <v>39</v>
      </c>
      <c r="M50" s="15">
        <v>55.954999999999998</v>
      </c>
      <c r="N50" s="10"/>
      <c r="O50" s="10" t="s">
        <v>39</v>
      </c>
      <c r="P50" s="14">
        <v>1496</v>
      </c>
    </row>
    <row r="51" spans="1:16" ht="1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 t="s">
        <v>40</v>
      </c>
      <c r="M51" s="14">
        <v>55.984999999999999</v>
      </c>
      <c r="N51" s="10"/>
      <c r="O51" s="10" t="s">
        <v>41</v>
      </c>
      <c r="P51" s="14">
        <v>1487</v>
      </c>
    </row>
    <row r="52" spans="1:16" ht="1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 t="s">
        <v>42</v>
      </c>
      <c r="M52" s="14">
        <v>56</v>
      </c>
      <c r="N52" s="10"/>
      <c r="O52" s="10" t="s">
        <v>43</v>
      </c>
      <c r="P52" s="14">
        <v>1481</v>
      </c>
    </row>
    <row r="53" spans="1:16" ht="16">
      <c r="L53" t="s">
        <v>26</v>
      </c>
      <c r="M53" s="8">
        <v>55.777999999999999</v>
      </c>
      <c r="O53" t="s">
        <v>26</v>
      </c>
      <c r="P53" s="8">
        <v>1553.5</v>
      </c>
    </row>
    <row r="54" spans="1:16" ht="16">
      <c r="L54" t="s">
        <v>27</v>
      </c>
      <c r="M54" s="8">
        <v>55.796999999999997</v>
      </c>
      <c r="O54" t="s">
        <v>27</v>
      </c>
      <c r="P54" s="8">
        <v>1549.5</v>
      </c>
    </row>
    <row r="55" spans="1:16" ht="16">
      <c r="L55" t="s">
        <v>28</v>
      </c>
      <c r="M55" s="8">
        <v>55.817</v>
      </c>
      <c r="O55" t="s">
        <v>28</v>
      </c>
      <c r="P55" s="8">
        <v>1542</v>
      </c>
    </row>
    <row r="56" spans="1:16" ht="16">
      <c r="L56" t="s">
        <v>29</v>
      </c>
      <c r="M56" s="8">
        <v>55.84</v>
      </c>
      <c r="O56" t="s">
        <v>29</v>
      </c>
      <c r="P56" s="8">
        <v>1536.5</v>
      </c>
    </row>
    <row r="57" spans="1:16" ht="16">
      <c r="L57" t="s">
        <v>30</v>
      </c>
      <c r="M57" s="8">
        <v>55.857999999999997</v>
      </c>
      <c r="O57" t="s">
        <v>31</v>
      </c>
      <c r="P57" s="8">
        <v>1530</v>
      </c>
    </row>
    <row r="58" spans="1:16" ht="16">
      <c r="L58" t="s">
        <v>32</v>
      </c>
      <c r="M58" s="8">
        <v>55.883000000000003</v>
      </c>
      <c r="O58" t="s">
        <v>32</v>
      </c>
      <c r="P58" s="8">
        <v>1522</v>
      </c>
    </row>
    <row r="59" spans="1:16" ht="16">
      <c r="L59" t="s">
        <v>33</v>
      </c>
      <c r="M59" s="8">
        <v>55.9</v>
      </c>
      <c r="O59" t="s">
        <v>34</v>
      </c>
      <c r="P59" s="8">
        <v>1516</v>
      </c>
    </row>
    <row r="60" spans="1:16" ht="16">
      <c r="L60" t="s">
        <v>35</v>
      </c>
      <c r="M60" s="9">
        <v>55.914999999999999</v>
      </c>
      <c r="O60" t="s">
        <v>36</v>
      </c>
      <c r="P60" s="8">
        <v>1509</v>
      </c>
    </row>
    <row r="61" spans="1:16" ht="16">
      <c r="L61" t="s">
        <v>37</v>
      </c>
      <c r="M61" s="9">
        <v>55.921999999999997</v>
      </c>
      <c r="O61" t="s">
        <v>37</v>
      </c>
      <c r="P61" s="9">
        <v>1505</v>
      </c>
    </row>
    <row r="62" spans="1:16" ht="16">
      <c r="O62" t="s">
        <v>38</v>
      </c>
      <c r="P62" s="9">
        <v>1500</v>
      </c>
    </row>
    <row r="63" spans="1:16" ht="16">
      <c r="L63" t="s">
        <v>39</v>
      </c>
      <c r="M63" s="9">
        <v>55.954999999999998</v>
      </c>
      <c r="O63" t="s">
        <v>39</v>
      </c>
      <c r="P63" s="8">
        <v>1496</v>
      </c>
    </row>
    <row r="64" spans="1:16" ht="16">
      <c r="L64" t="s">
        <v>40</v>
      </c>
      <c r="M64" s="8">
        <v>55.984999999999999</v>
      </c>
      <c r="O64" t="s">
        <v>41</v>
      </c>
      <c r="P64" s="8">
        <v>1487</v>
      </c>
    </row>
    <row r="65" spans="12:16" ht="16">
      <c r="L65" t="s">
        <v>42</v>
      </c>
      <c r="M65" s="8">
        <v>56</v>
      </c>
      <c r="O65" t="s">
        <v>43</v>
      </c>
      <c r="P65" s="8">
        <v>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zoomScale="125" workbookViewId="0">
      <selection sqref="A1:E6"/>
    </sheetView>
  </sheetViews>
  <sheetFormatPr baseColWidth="10" defaultColWidth="8.83203125" defaultRowHeight="14"/>
  <cols>
    <col min="1" max="1" width="32.1640625" customWidth="1"/>
    <col min="2" max="2" width="10.5" customWidth="1"/>
    <col min="3" max="3" width="18.1640625" customWidth="1"/>
    <col min="4" max="4" width="14" customWidth="1"/>
  </cols>
  <sheetData>
    <row r="1" spans="1:10" ht="22" customHeight="1" thickBot="1">
      <c r="A1" s="1" t="s">
        <v>0</v>
      </c>
      <c r="B1" s="1" t="s">
        <v>114</v>
      </c>
      <c r="C1" s="1" t="s">
        <v>111</v>
      </c>
      <c r="D1" s="1" t="s">
        <v>1</v>
      </c>
      <c r="E1" s="16" t="s">
        <v>11</v>
      </c>
    </row>
    <row r="2" spans="1:10" ht="16">
      <c r="A2" s="2" t="s">
        <v>112</v>
      </c>
      <c r="B2" s="2">
        <v>1390</v>
      </c>
      <c r="C2" s="4">
        <v>2515</v>
      </c>
      <c r="D2" s="19">
        <v>53.02</v>
      </c>
      <c r="E2" t="s">
        <v>115</v>
      </c>
    </row>
    <row r="3" spans="1:10">
      <c r="A3" s="2" t="s">
        <v>3</v>
      </c>
      <c r="B3">
        <v>1340</v>
      </c>
      <c r="C3" s="4">
        <v>2460</v>
      </c>
      <c r="D3">
        <v>53.12</v>
      </c>
      <c r="E3" t="s">
        <v>115</v>
      </c>
    </row>
    <row r="4" spans="1:10">
      <c r="A4" s="2" t="s">
        <v>113</v>
      </c>
      <c r="B4" s="2">
        <v>1300</v>
      </c>
      <c r="C4">
        <v>2420</v>
      </c>
      <c r="D4">
        <v>53.25</v>
      </c>
      <c r="E4" t="s">
        <v>115</v>
      </c>
    </row>
    <row r="5" spans="1:10" ht="16">
      <c r="A5" s="2" t="s">
        <v>4</v>
      </c>
      <c r="B5" s="2">
        <v>950</v>
      </c>
      <c r="C5" s="4">
        <v>2100</v>
      </c>
      <c r="D5" s="19">
        <v>53.9</v>
      </c>
      <c r="E5" t="s">
        <v>115</v>
      </c>
    </row>
    <row r="6" spans="1:10" ht="16">
      <c r="A6" s="2" t="s">
        <v>5</v>
      </c>
      <c r="B6" s="2">
        <v>0</v>
      </c>
      <c r="C6" s="4">
        <v>1195</v>
      </c>
      <c r="D6" s="19">
        <v>55.9</v>
      </c>
      <c r="E6" s="19" t="s">
        <v>45</v>
      </c>
      <c r="G6" s="17"/>
      <c r="H6" s="19"/>
    </row>
    <row r="7" spans="1:10" ht="16">
      <c r="A7" s="2"/>
      <c r="B7" s="2"/>
      <c r="C7" s="4"/>
      <c r="D7" s="19"/>
      <c r="I7" s="19"/>
      <c r="J7" s="19"/>
    </row>
    <row r="8" spans="1:10" ht="16">
      <c r="A8" s="2"/>
      <c r="B8" s="2"/>
      <c r="C8" s="4"/>
      <c r="D8" s="19"/>
      <c r="I8" s="19"/>
      <c r="J8" s="19"/>
    </row>
    <row r="9" spans="1:10" ht="16">
      <c r="A9" s="3"/>
      <c r="B9" s="3"/>
      <c r="C9" s="5"/>
      <c r="D9" s="19"/>
      <c r="I9" s="19"/>
      <c r="J9" s="19"/>
    </row>
    <row r="10" spans="1:10" ht="16">
      <c r="A10" s="2"/>
      <c r="B10" s="2"/>
      <c r="C10" s="4"/>
      <c r="D10" s="6"/>
      <c r="E10" s="17"/>
      <c r="I10" s="19"/>
      <c r="J10" s="19"/>
    </row>
    <row r="11" spans="1:10" ht="16">
      <c r="A11" s="2"/>
      <c r="B11" s="2"/>
      <c r="C11" s="4"/>
      <c r="D11" s="6"/>
      <c r="E11" s="17"/>
      <c r="I11" s="19"/>
      <c r="J11" s="19"/>
    </row>
    <row r="12" spans="1:10" ht="16">
      <c r="I12" s="19"/>
      <c r="J12" s="19"/>
    </row>
    <row r="13" spans="1:10" ht="16">
      <c r="A13" s="2"/>
      <c r="B13" s="2"/>
      <c r="C13" s="4"/>
      <c r="D13" s="6"/>
      <c r="E13" s="17"/>
      <c r="I13" s="19"/>
      <c r="J13" s="19"/>
    </row>
    <row r="14" spans="1:10" ht="16">
      <c r="A14" s="2"/>
      <c r="B14" s="2"/>
      <c r="C14" s="4"/>
      <c r="D14" s="6"/>
      <c r="E14" s="17"/>
      <c r="I14" s="19"/>
      <c r="J14" s="19"/>
    </row>
    <row r="15" spans="1:10" ht="16">
      <c r="I15" s="19"/>
      <c r="J15" s="19"/>
    </row>
    <row r="16" spans="1:10" ht="16">
      <c r="A16" s="2"/>
      <c r="B16" s="2"/>
      <c r="C16" s="4"/>
      <c r="D16" s="6"/>
      <c r="E16" s="17"/>
      <c r="I16" s="19"/>
      <c r="J16" s="19"/>
    </row>
    <row r="17" spans="1:10" ht="16">
      <c r="I17" s="19"/>
      <c r="J17" s="19"/>
    </row>
    <row r="18" spans="1:10" ht="16">
      <c r="A18" s="2"/>
      <c r="B18" s="2"/>
      <c r="C18" s="4"/>
      <c r="D18" s="6"/>
      <c r="E18" s="17"/>
      <c r="I18" s="19"/>
      <c r="J18" s="19"/>
    </row>
    <row r="19" spans="1:10">
      <c r="A19" s="2"/>
      <c r="B19" s="2"/>
      <c r="C19" s="4"/>
      <c r="D19" s="6"/>
      <c r="E19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tabSelected="1" zoomScale="174" workbookViewId="0">
      <selection activeCell="B22" sqref="B22"/>
    </sheetView>
  </sheetViews>
  <sheetFormatPr baseColWidth="10" defaultColWidth="8.83203125" defaultRowHeight="14"/>
  <cols>
    <col min="1" max="1" width="36" customWidth="1"/>
    <col min="2" max="2" width="29.6640625" customWidth="1"/>
    <col min="3" max="3" width="17.6640625" bestFit="1" customWidth="1"/>
    <col min="4" max="4" width="14" customWidth="1"/>
    <col min="5" max="5" width="15.83203125" customWidth="1"/>
    <col min="6" max="6" width="14" customWidth="1"/>
  </cols>
  <sheetData>
    <row r="1" spans="1:6" ht="22" customHeight="1">
      <c r="A1" s="1" t="s">
        <v>0</v>
      </c>
      <c r="B1" s="1" t="s">
        <v>110</v>
      </c>
      <c r="C1" s="1" t="s">
        <v>109</v>
      </c>
      <c r="D1" s="1" t="s">
        <v>1</v>
      </c>
      <c r="E1" s="1" t="s">
        <v>46</v>
      </c>
      <c r="F1" s="16" t="s">
        <v>11</v>
      </c>
    </row>
    <row r="2" spans="1:6">
      <c r="A2" s="2" t="s">
        <v>2</v>
      </c>
      <c r="B2" s="2"/>
      <c r="C2" s="4"/>
      <c r="D2">
        <v>53.02</v>
      </c>
      <c r="E2" s="18"/>
      <c r="F2" t="s">
        <v>44</v>
      </c>
    </row>
    <row r="3" spans="1:6">
      <c r="A3" s="2" t="s">
        <v>3</v>
      </c>
      <c r="B3" s="2"/>
      <c r="C3" s="4"/>
      <c r="D3">
        <v>53.12</v>
      </c>
      <c r="E3" s="18"/>
      <c r="F3" t="s">
        <v>44</v>
      </c>
    </row>
    <row r="4" spans="1:6">
      <c r="A4" s="2" t="s">
        <v>4</v>
      </c>
      <c r="B4" s="2"/>
      <c r="C4" s="4"/>
      <c r="D4">
        <v>53.9</v>
      </c>
      <c r="E4" s="18"/>
      <c r="F4" t="s">
        <v>44</v>
      </c>
    </row>
    <row r="5" spans="1:6">
      <c r="A5" s="2" t="s">
        <v>5</v>
      </c>
      <c r="B5" s="2"/>
      <c r="C5" s="4"/>
      <c r="D5" s="6">
        <v>55.9</v>
      </c>
      <c r="E5" s="4"/>
      <c r="F5" s="17" t="s">
        <v>45</v>
      </c>
    </row>
    <row r="6" spans="1:6">
      <c r="A6" s="2" t="s">
        <v>47</v>
      </c>
      <c r="B6" s="2"/>
      <c r="C6" s="4"/>
      <c r="D6">
        <v>57.100999999999999</v>
      </c>
      <c r="E6" s="4"/>
      <c r="F6" t="s">
        <v>44</v>
      </c>
    </row>
    <row r="7" spans="1:6">
      <c r="A7" s="2" t="s">
        <v>48</v>
      </c>
      <c r="B7" s="2"/>
      <c r="C7" s="4"/>
      <c r="D7">
        <v>57.655999999999999</v>
      </c>
      <c r="E7" s="4"/>
      <c r="F7" t="s">
        <v>44</v>
      </c>
    </row>
    <row r="8" spans="1:6">
      <c r="A8" s="3" t="s">
        <v>49</v>
      </c>
      <c r="B8" s="3"/>
      <c r="C8" s="5"/>
      <c r="D8">
        <v>62.277999999999999</v>
      </c>
      <c r="E8" s="5"/>
      <c r="F8" t="s">
        <v>44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5795-D3E5-9043-8832-BB95C9A82285}">
  <dimension ref="A1:C49"/>
  <sheetViews>
    <sheetView workbookViewId="0">
      <selection activeCell="B37" sqref="B37"/>
    </sheetView>
  </sheetViews>
  <sheetFormatPr baseColWidth="10" defaultRowHeight="14"/>
  <cols>
    <col min="1" max="1" width="13.1640625" customWidth="1"/>
  </cols>
  <sheetData>
    <row r="1" spans="1:3" ht="16">
      <c r="A1" s="7" t="s">
        <v>63</v>
      </c>
      <c r="B1" s="7" t="s">
        <v>64</v>
      </c>
      <c r="C1" s="7" t="s">
        <v>65</v>
      </c>
    </row>
    <row r="2" spans="1:3">
      <c r="A2" t="s">
        <v>66</v>
      </c>
      <c r="B2">
        <v>30.977</v>
      </c>
      <c r="C2" t="s">
        <v>67</v>
      </c>
    </row>
    <row r="3" spans="1:3">
      <c r="A3" t="s">
        <v>68</v>
      </c>
      <c r="B3">
        <v>33.213999999999999</v>
      </c>
      <c r="C3" t="s">
        <v>69</v>
      </c>
    </row>
    <row r="4" spans="1:3">
      <c r="A4" t="s">
        <v>70</v>
      </c>
      <c r="B4">
        <v>33.725999999999999</v>
      </c>
      <c r="C4" t="s">
        <v>69</v>
      </c>
    </row>
    <row r="5" spans="1:3">
      <c r="A5" t="s">
        <v>71</v>
      </c>
      <c r="B5">
        <v>35.101999999999997</v>
      </c>
      <c r="C5" t="s">
        <v>72</v>
      </c>
    </row>
    <row r="6" spans="1:3">
      <c r="A6" t="s">
        <v>73</v>
      </c>
      <c r="B6">
        <v>35.335999999999999</v>
      </c>
      <c r="C6" t="s">
        <v>69</v>
      </c>
    </row>
    <row r="7" spans="1:3">
      <c r="A7" t="s">
        <v>74</v>
      </c>
      <c r="B7">
        <v>35.58</v>
      </c>
      <c r="C7" t="s">
        <v>69</v>
      </c>
    </row>
    <row r="8" spans="1:3">
      <c r="A8" t="s">
        <v>75</v>
      </c>
      <c r="B8">
        <v>35.718000000000004</v>
      </c>
      <c r="C8" t="s">
        <v>69</v>
      </c>
    </row>
    <row r="9" spans="1:3">
      <c r="A9" t="s">
        <v>76</v>
      </c>
      <c r="B9">
        <v>35.774000000000001</v>
      </c>
      <c r="C9" t="s">
        <v>69</v>
      </c>
    </row>
    <row r="10" spans="1:3">
      <c r="A10" t="s">
        <v>77</v>
      </c>
      <c r="B10">
        <v>36.350999999999999</v>
      </c>
      <c r="C10" t="s">
        <v>69</v>
      </c>
    </row>
    <row r="11" spans="1:3">
      <c r="A11" t="s">
        <v>78</v>
      </c>
      <c r="B11">
        <v>36.573</v>
      </c>
      <c r="C11" t="s">
        <v>69</v>
      </c>
    </row>
    <row r="12" spans="1:3">
      <c r="A12" t="s">
        <v>79</v>
      </c>
      <c r="B12">
        <v>37.384999999999998</v>
      </c>
      <c r="C12" t="s">
        <v>69</v>
      </c>
    </row>
    <row r="13" spans="1:3">
      <c r="A13" t="s">
        <v>80</v>
      </c>
      <c r="B13">
        <v>37.53</v>
      </c>
      <c r="C13" t="s">
        <v>69</v>
      </c>
    </row>
    <row r="14" spans="1:3">
      <c r="A14" t="s">
        <v>81</v>
      </c>
      <c r="B14">
        <v>37.780999999999999</v>
      </c>
      <c r="C14" t="s">
        <v>69</v>
      </c>
    </row>
    <row r="15" spans="1:3">
      <c r="A15" t="s">
        <v>82</v>
      </c>
      <c r="B15">
        <v>37.857999999999997</v>
      </c>
      <c r="C15" t="s">
        <v>69</v>
      </c>
    </row>
    <row r="16" spans="1:3">
      <c r="A16" t="s">
        <v>83</v>
      </c>
      <c r="B16">
        <v>38.081000000000003</v>
      </c>
      <c r="C16" t="s">
        <v>69</v>
      </c>
    </row>
    <row r="17" spans="1:3">
      <c r="A17" t="s">
        <v>84</v>
      </c>
      <c r="B17">
        <v>38.398000000000003</v>
      </c>
      <c r="C17" t="s">
        <v>69</v>
      </c>
    </row>
    <row r="18" spans="1:3">
      <c r="A18" t="s">
        <v>85</v>
      </c>
      <c r="B18">
        <v>39.582000000000001</v>
      </c>
      <c r="C18" t="s">
        <v>69</v>
      </c>
    </row>
    <row r="19" spans="1:3">
      <c r="A19" t="s">
        <v>86</v>
      </c>
      <c r="B19">
        <v>39.665999999999997</v>
      </c>
      <c r="C19" t="s">
        <v>69</v>
      </c>
    </row>
    <row r="20" spans="1:3">
      <c r="A20" t="s">
        <v>87</v>
      </c>
      <c r="B20">
        <v>40.073</v>
      </c>
      <c r="C20" t="s">
        <v>69</v>
      </c>
    </row>
    <row r="21" spans="1:3">
      <c r="A21" t="s">
        <v>88</v>
      </c>
      <c r="B21">
        <v>41.03</v>
      </c>
      <c r="C21" t="s">
        <v>69</v>
      </c>
    </row>
    <row r="22" spans="1:3">
      <c r="A22" t="s">
        <v>89</v>
      </c>
      <c r="B22">
        <v>41.18</v>
      </c>
      <c r="C22" t="s">
        <v>69</v>
      </c>
    </row>
    <row r="23" spans="1:3">
      <c r="A23" t="s">
        <v>90</v>
      </c>
      <c r="B23">
        <v>42.195999999999998</v>
      </c>
      <c r="C23" t="s">
        <v>91</v>
      </c>
    </row>
    <row r="24" spans="1:3">
      <c r="A24" t="s">
        <v>92</v>
      </c>
      <c r="B24">
        <v>43.45</v>
      </c>
      <c r="C24" t="s">
        <v>93</v>
      </c>
    </row>
    <row r="25" spans="1:3">
      <c r="A25" t="s">
        <v>94</v>
      </c>
      <c r="B25">
        <v>46.234999999999999</v>
      </c>
      <c r="C25" t="s">
        <v>91</v>
      </c>
    </row>
    <row r="26" spans="1:3">
      <c r="A26" t="s">
        <v>95</v>
      </c>
      <c r="B26">
        <v>47.76</v>
      </c>
      <c r="C26" t="s">
        <v>96</v>
      </c>
    </row>
    <row r="27" spans="1:3">
      <c r="A27" t="s">
        <v>97</v>
      </c>
      <c r="B27">
        <v>48.878</v>
      </c>
      <c r="C27" t="s">
        <v>69</v>
      </c>
    </row>
    <row r="28" spans="1:3">
      <c r="A28" t="s">
        <v>98</v>
      </c>
      <c r="B28">
        <v>49.665999999999997</v>
      </c>
      <c r="C28" t="s">
        <v>69</v>
      </c>
    </row>
    <row r="29" spans="1:3">
      <c r="A29" t="s">
        <v>99</v>
      </c>
      <c r="B29">
        <v>50.767000000000003</v>
      </c>
      <c r="C29" t="s">
        <v>69</v>
      </c>
    </row>
    <row r="30" spans="1:3">
      <c r="A30" t="s">
        <v>100</v>
      </c>
      <c r="B30">
        <v>50.996000000000002</v>
      </c>
      <c r="C30" t="s">
        <v>69</v>
      </c>
    </row>
    <row r="31" spans="1:3">
      <c r="A31" t="s">
        <v>101</v>
      </c>
      <c r="B31">
        <v>51.046999999999997</v>
      </c>
      <c r="C31" t="s">
        <v>69</v>
      </c>
    </row>
    <row r="32" spans="1:3">
      <c r="A32" t="s">
        <v>102</v>
      </c>
      <c r="B32">
        <v>51.723999999999997</v>
      </c>
      <c r="C32" t="s">
        <v>69</v>
      </c>
    </row>
    <row r="33" spans="1:3">
      <c r="A33" t="s">
        <v>50</v>
      </c>
      <c r="B33">
        <v>52.54</v>
      </c>
      <c r="C33" t="s">
        <v>69</v>
      </c>
    </row>
    <row r="34" spans="1:3">
      <c r="A34" t="s">
        <v>51</v>
      </c>
      <c r="B34">
        <v>52.93</v>
      </c>
      <c r="C34" t="s">
        <v>69</v>
      </c>
    </row>
    <row r="35" spans="1:3">
      <c r="A35" t="s">
        <v>52</v>
      </c>
      <c r="B35">
        <v>53.02</v>
      </c>
      <c r="C35" t="s">
        <v>69</v>
      </c>
    </row>
    <row r="36" spans="1:3">
      <c r="A36" t="s">
        <v>53</v>
      </c>
      <c r="B36">
        <v>53.12</v>
      </c>
      <c r="C36" t="s">
        <v>69</v>
      </c>
    </row>
    <row r="37" spans="1:3">
      <c r="A37" t="s">
        <v>54</v>
      </c>
      <c r="B37">
        <v>53.25</v>
      </c>
      <c r="C37" t="s">
        <v>69</v>
      </c>
    </row>
    <row r="38" spans="1:3">
      <c r="A38" t="s">
        <v>55</v>
      </c>
      <c r="B38">
        <v>53.9</v>
      </c>
      <c r="C38" t="s">
        <v>69</v>
      </c>
    </row>
    <row r="39" spans="1:3">
      <c r="A39" t="s">
        <v>56</v>
      </c>
      <c r="B39">
        <v>57.100999999999999</v>
      </c>
      <c r="C39" t="s">
        <v>103</v>
      </c>
    </row>
    <row r="40" spans="1:3">
      <c r="A40" t="s">
        <v>57</v>
      </c>
      <c r="B40">
        <v>57.655999999999999</v>
      </c>
      <c r="C40" t="s">
        <v>69</v>
      </c>
    </row>
    <row r="41" spans="1:3">
      <c r="A41" t="s">
        <v>58</v>
      </c>
      <c r="B41">
        <v>58.959000000000003</v>
      </c>
      <c r="C41" t="s">
        <v>69</v>
      </c>
    </row>
    <row r="42" spans="1:3">
      <c r="A42" t="s">
        <v>59</v>
      </c>
      <c r="B42">
        <v>59.237000000000002</v>
      </c>
      <c r="C42" t="s">
        <v>69</v>
      </c>
    </row>
    <row r="43" spans="1:3">
      <c r="A43" t="s">
        <v>60</v>
      </c>
      <c r="B43">
        <v>62.277999999999999</v>
      </c>
      <c r="C43" t="s">
        <v>104</v>
      </c>
    </row>
    <row r="44" spans="1:3">
      <c r="A44" t="s">
        <v>61</v>
      </c>
      <c r="B44">
        <v>62.53</v>
      </c>
      <c r="C44" t="s">
        <v>69</v>
      </c>
    </row>
    <row r="45" spans="1:3">
      <c r="A45" t="s">
        <v>62</v>
      </c>
      <c r="B45">
        <v>63.536999999999999</v>
      </c>
      <c r="C45" t="s">
        <v>69</v>
      </c>
    </row>
    <row r="46" spans="1:3">
      <c r="A46" t="s">
        <v>105</v>
      </c>
      <c r="B46">
        <v>64.644999999999996</v>
      </c>
      <c r="C46" t="s">
        <v>69</v>
      </c>
    </row>
    <row r="47" spans="1:3">
      <c r="A47" t="s">
        <v>106</v>
      </c>
      <c r="B47">
        <v>64.861999999999995</v>
      </c>
      <c r="C47" t="s">
        <v>69</v>
      </c>
    </row>
    <row r="48" spans="1:3">
      <c r="A48" t="s">
        <v>107</v>
      </c>
      <c r="B48">
        <v>65.7</v>
      </c>
      <c r="C48" t="s">
        <v>69</v>
      </c>
    </row>
    <row r="49" spans="1:3">
      <c r="A49" t="s">
        <v>108</v>
      </c>
      <c r="B49">
        <v>66.001000000000005</v>
      </c>
      <c r="C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Clarks Fork Basin</vt:lpstr>
      <vt:lpstr>McCullough Peaks</vt:lpstr>
      <vt:lpstr>Southern Bighorn Basin</vt:lpstr>
      <vt:lpstr>Pg GTS2020 Magnetochrons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Allen</cp:lastModifiedBy>
  <dcterms:created xsi:type="dcterms:W3CDTF">2026-07-22T17:14:24Z</dcterms:created>
  <dcterms:modified xsi:type="dcterms:W3CDTF">2026-07-22T17:14:24Z</dcterms:modified>
</cp:coreProperties>
</file>
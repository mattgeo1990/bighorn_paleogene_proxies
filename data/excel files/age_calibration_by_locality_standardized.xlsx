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13_ncr:1_{6F1BB998-F5E0-8B45-8EDB-8947FF2CE66F}" xr6:coauthVersionLast="47" xr6:coauthVersionMax="47" xr10:uidLastSave="{00000000-0000-0000-0000-000000000000}"/>
  <bookViews>
    <workbookView xWindow="19080" yWindow="620" windowWidth="19040" windowHeight="20360" firstSheet="4" activeTab="6" xr2:uid="{00000000-000D-0000-FFFF-FFFF00000000}"/>
  </bookViews>
  <sheets>
    <sheet name="Clarks Fork Basin" sheetId="1" r:id="rId1"/>
    <sheet name="McCullough Peaks" sheetId="2" r:id="rId2"/>
    <sheet name="Southern Bighorn Basin" sheetId="3" r:id="rId3"/>
    <sheet name="Pg GTS2020 Magnetochrons" sheetId="4" r:id="rId4"/>
    <sheet name="CFB_standardized" sheetId="5" r:id="rId5"/>
    <sheet name="MCP_standardized" sheetId="6" r:id="rId6"/>
    <sheet name="SBHB_standardized" sheetId="7" r:id="rId7"/>
    <sheet name="GTS2020_standardized" sheetId="8" r:id="rId8"/>
    <sheet name="README_standardize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7" l="1"/>
  <c r="K7" i="7"/>
  <c r="K6" i="7"/>
  <c r="K4" i="7"/>
  <c r="K3" i="7"/>
  <c r="K2" i="7"/>
  <c r="K5" i="6"/>
  <c r="K4" i="6"/>
  <c r="K3" i="6"/>
  <c r="K2" i="6"/>
  <c r="K37" i="5"/>
  <c r="K35" i="5"/>
  <c r="K34" i="5"/>
  <c r="K33" i="5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6" i="1"/>
  <c r="D3" i="1"/>
  <c r="D10" i="1"/>
  <c r="D11" i="1"/>
  <c r="D30" i="1"/>
  <c r="D12" i="1"/>
  <c r="D15" i="1"/>
  <c r="D4" i="1"/>
  <c r="D23" i="1"/>
  <c r="D28" i="1"/>
  <c r="D7" i="1"/>
  <c r="D9" i="1"/>
  <c r="D25" i="1"/>
  <c r="D13" i="1"/>
  <c r="D14" i="1"/>
  <c r="D8" i="1"/>
  <c r="D32" i="1"/>
  <c r="D21" i="1"/>
  <c r="D16" i="1"/>
  <c r="D24" i="1"/>
  <c r="D19" i="1"/>
  <c r="D26" i="1"/>
  <c r="D27" i="1"/>
  <c r="D20" i="1"/>
  <c r="D5" i="1"/>
  <c r="D31" i="1"/>
  <c r="D29" i="1"/>
  <c r="D17" i="1"/>
  <c r="D22" i="1"/>
</calcChain>
</file>

<file path=xl/sharedStrings.xml><?xml version="1.0" encoding="utf-8"?>
<sst xmlns="http://schemas.openxmlformats.org/spreadsheetml/2006/main" count="1013" uniqueCount="210">
  <si>
    <t>Age_Ma_Westerhold_2018</t>
  </si>
  <si>
    <t>Depth_m_PCB_core</t>
  </si>
  <si>
    <t>height_above_onset</t>
  </si>
  <si>
    <t>est_Depth_m_PCB_outcrop</t>
  </si>
  <si>
    <t>Age_Ma_best_estimate</t>
  </si>
  <si>
    <t>basis</t>
  </si>
  <si>
    <t>Biohorizon B (Wa-4/5 boundary, Clyde et al., (2007)</t>
  </si>
  <si>
    <t xml:space="preserve">Correlation from PCB drill core to PCB outcrop, hung on onset PETM CIE, based on drill core age model by  Westerhold et al. (2020) </t>
  </si>
  <si>
    <t>Polecat Bench CIE onset, Westerhold et al. (2020)</t>
  </si>
  <si>
    <t>General precision of K-Pg meter level framework: +/- 5m (Gingerich 2010)</t>
  </si>
  <si>
    <t>Red: AI estimated</t>
  </si>
  <si>
    <t>Green: MLA validated</t>
  </si>
  <si>
    <t>base C25n, SE PCB, datum: Secord et al. (2006), age: GTS 2020</t>
  </si>
  <si>
    <t>base C25r, SE PCB, datum: Secord et al. (2006), age: GTS 2020</t>
  </si>
  <si>
    <t>base C26n, SE PCB, datum: Secord et al. (2006), age: GTS 2020</t>
  </si>
  <si>
    <t xml:space="preserve">Belt Ash sanadine Ar36/Ar40 dating, SE PCB, Secord et al. (2006). Age reported as 59.0 +/- 0.3 Ma. Given </t>
  </si>
  <si>
    <t>base C26r, SE PCB, datum: Secord et al. (2006), age: GTS 2020</t>
  </si>
  <si>
    <t>Marker</t>
  </si>
  <si>
    <t>Approx. Age (Ma)</t>
  </si>
  <si>
    <t>Strat level (m)</t>
  </si>
  <si>
    <t>Top Red B</t>
  </si>
  <si>
    <t>Top Red A</t>
  </si>
  <si>
    <t>Purple-4</t>
  </si>
  <si>
    <t>Purple-3</t>
  </si>
  <si>
    <t>U.D. Red A &amp; B</t>
  </si>
  <si>
    <t>Upper Double-Red B</t>
  </si>
  <si>
    <t>Purple-2</t>
  </si>
  <si>
    <t>L.D. Red A &amp; B</t>
  </si>
  <si>
    <t>Lower Double-Red B</t>
  </si>
  <si>
    <t>Brown ms.</t>
  </si>
  <si>
    <t>Brown mudstone</t>
  </si>
  <si>
    <t>Purple-0</t>
  </si>
  <si>
    <t>Thin red mudstone</t>
  </si>
  <si>
    <t>Red mudstones</t>
  </si>
  <si>
    <t>Purp.-red ms.</t>
  </si>
  <si>
    <t>Purplish red mudstone</t>
  </si>
  <si>
    <t>Purple ms.</t>
  </si>
  <si>
    <t>Purple mudstone</t>
  </si>
  <si>
    <t>Event</t>
  </si>
  <si>
    <t>Clyde1994_m_level</t>
  </si>
  <si>
    <t>Koch2003_m_above_Kpg</t>
  </si>
  <si>
    <t>Age (Ma)</t>
  </si>
  <si>
    <t>Base of C24n.1r</t>
  </si>
  <si>
    <t>Clyde et al. (1994), GTS2020</t>
  </si>
  <si>
    <t>Base of C24n.2n</t>
  </si>
  <si>
    <t>Base of C24n.2r</t>
  </si>
  <si>
    <t>Base of C24n.3n</t>
  </si>
  <si>
    <t>Base of Wa 0</t>
  </si>
  <si>
    <t>base of PETM CIE, Westerhold et al. (2018)</t>
  </si>
  <si>
    <t>Clyde2007_level_m</t>
  </si>
  <si>
    <t>Koch2003_level_m</t>
  </si>
  <si>
    <t>Age 95% CI</t>
  </si>
  <si>
    <t>Top of C24n.2n</t>
  </si>
  <si>
    <t>Clyde et al. (2007), GTS2020</t>
  </si>
  <si>
    <t>Base of C24r</t>
  </si>
  <si>
    <t>Base of C25n</t>
  </si>
  <si>
    <t>Base of C26r</t>
  </si>
  <si>
    <t>Magnetochron (Base)</t>
  </si>
  <si>
    <t>GTS2020 Age (Ma)</t>
  </si>
  <si>
    <t>Primary calibration reference (GTS2020)</t>
  </si>
  <si>
    <t>C12n</t>
  </si>
  <si>
    <t>Westerhold et al. (2014) – PEAT</t>
  </si>
  <si>
    <t>C12r</t>
  </si>
  <si>
    <t>—</t>
  </si>
  <si>
    <t>C13n</t>
  </si>
  <si>
    <t>C13r</t>
  </si>
  <si>
    <t>Westerhold et al. (2014) – PEAT (used in GTS2016)</t>
  </si>
  <si>
    <t>C15n</t>
  </si>
  <si>
    <t>C15r</t>
  </si>
  <si>
    <t>C16n.1n</t>
  </si>
  <si>
    <t>C16n.1r</t>
  </si>
  <si>
    <t>C16n.2n</t>
  </si>
  <si>
    <t>C16r</t>
  </si>
  <si>
    <t>C17n.1n</t>
  </si>
  <si>
    <t>C17n.1r</t>
  </si>
  <si>
    <t>C17n.2n</t>
  </si>
  <si>
    <t>C17n.2r</t>
  </si>
  <si>
    <t>C17n.3n</t>
  </si>
  <si>
    <t>C17r</t>
  </si>
  <si>
    <t>C18n.1n</t>
  </si>
  <si>
    <t>C18n.1r</t>
  </si>
  <si>
    <t>C18n.2n</t>
  </si>
  <si>
    <t>C18r</t>
  </si>
  <si>
    <t>C19n</t>
  </si>
  <si>
    <t>C19r</t>
  </si>
  <si>
    <t>Westerhold et al. (2017) – Site 1258</t>
  </si>
  <si>
    <t>C20n</t>
  </si>
  <si>
    <t>Dinarès-Turell et al. (2018)</t>
  </si>
  <si>
    <t>C20r</t>
  </si>
  <si>
    <t>C21n</t>
  </si>
  <si>
    <t>Francescone et al. (2019)</t>
  </si>
  <si>
    <t>C21r</t>
  </si>
  <si>
    <t>C22n</t>
  </si>
  <si>
    <t>C22r</t>
  </si>
  <si>
    <t>C23n.1n</t>
  </si>
  <si>
    <t>C23n.1r</t>
  </si>
  <si>
    <t>C23n.2n</t>
  </si>
  <si>
    <t>C23r</t>
  </si>
  <si>
    <t>C24n.1n</t>
  </si>
  <si>
    <t>C24n.1r</t>
  </si>
  <si>
    <t>C24n.2n</t>
  </si>
  <si>
    <t>C24n.2r</t>
  </si>
  <si>
    <t>C24n.3n</t>
  </si>
  <si>
    <t>C24r</t>
  </si>
  <si>
    <t>Hilgen et al. (2010) (used in GTS2012/2016)</t>
  </si>
  <si>
    <t>C25n</t>
  </si>
  <si>
    <t>C25r</t>
  </si>
  <si>
    <t>C26n</t>
  </si>
  <si>
    <t>C26r</t>
  </si>
  <si>
    <t>Dinarès-Turell et al. (2014)</t>
  </si>
  <si>
    <t>C27n</t>
  </si>
  <si>
    <t>C27r</t>
  </si>
  <si>
    <t>C28n</t>
  </si>
  <si>
    <t>C28r</t>
  </si>
  <si>
    <t>C29n</t>
  </si>
  <si>
    <t>K/Pg</t>
  </si>
  <si>
    <t>source_sheet</t>
  </si>
  <si>
    <t>source_row</t>
  </si>
  <si>
    <t>event</t>
  </si>
  <si>
    <t>composite_section</t>
  </si>
  <si>
    <t>strat_height_m</t>
  </si>
  <si>
    <t>strat_height_datum</t>
  </si>
  <si>
    <t>alternate_strat_height_m</t>
  </si>
  <si>
    <t>alternate_strat_datum</t>
  </si>
  <si>
    <t>relative_height_m</t>
  </si>
  <si>
    <t>relative_height_datum</t>
  </si>
  <si>
    <t>age_Ma</t>
  </si>
  <si>
    <t>age_source</t>
  </si>
  <si>
    <t>strat_source</t>
  </si>
  <si>
    <t>control_type</t>
  </si>
  <si>
    <t>use_as_age_prior</t>
  </si>
  <si>
    <t>relationship_status</t>
  </si>
  <si>
    <t>basis_comments</t>
  </si>
  <si>
    <t>Clarks Fork Basin</t>
  </si>
  <si>
    <t>Biohorizon B (Wa-4/5 boundary)</t>
  </si>
  <si>
    <t>CFB</t>
  </si>
  <si>
    <t>m above K-Pg; PCB/CFB outcrop framework</t>
  </si>
  <si>
    <t>Entered source age</t>
  </si>
  <si>
    <t>Clyde et al. (2007)</t>
  </si>
  <si>
    <t>biohorizon</t>
  </si>
  <si>
    <t>entered relationship preserved</t>
  </si>
  <si>
    <t>PCB core age-depth point</t>
  </si>
  <si>
    <t>PCB drill-core depth (m)</t>
  </si>
  <si>
    <t>m relative to PETM CIE onset</t>
  </si>
  <si>
    <t>Westerhold et al. chronology</t>
  </si>
  <si>
    <t>PCB core-outcrop CIE correlation</t>
  </si>
  <si>
    <t>age-depth correlation</t>
  </si>
  <si>
    <t>Correlation from PCB drill core to PCB outcrop, hung on onset PETM CIE, based on drill core age model by  Westerhold et al. (2020)</t>
  </si>
  <si>
    <t>PETM CIE onset</t>
  </si>
  <si>
    <t>CIE</t>
  </si>
  <si>
    <t>Base C25n</t>
  </si>
  <si>
    <t>GTS2020 magnetochron sheet</t>
  </si>
  <si>
    <t>Secord et al. (2006)</t>
  </si>
  <si>
    <t>magnetochron</t>
  </si>
  <si>
    <t>Base C25r</t>
  </si>
  <si>
    <t>Base C26n</t>
  </si>
  <si>
    <t>Belt Ash</t>
  </si>
  <si>
    <t>radiometric</t>
  </si>
  <si>
    <t>Belt Ash sanadine Ar36/Ar40 dating, SE PCB, Secord et al. (2006). Age reported as 59.0 +/- 0.3 Ma. Given</t>
  </si>
  <si>
    <t>Base C26r</t>
  </si>
  <si>
    <t>McCullough Peaks</t>
  </si>
  <si>
    <t>Base C24n.1r</t>
  </si>
  <si>
    <t>MCP</t>
  </si>
  <si>
    <t>m above K-Pg; Koch et al. (2003) MCP framework</t>
  </si>
  <si>
    <t>Clyde et al. (1994) MCP local level (m)</t>
  </si>
  <si>
    <t>Clyde et al. (1994) correlated to Koch et al. (2003)</t>
  </si>
  <si>
    <t>Base C24n.2n</t>
  </si>
  <si>
    <t>Base C24n.2r</t>
  </si>
  <si>
    <t>Base C24n.3n</t>
  </si>
  <si>
    <t>Base Wa0</t>
  </si>
  <si>
    <t>Westerhold PETM CIE chronology</t>
  </si>
  <si>
    <t>Southern Bighorn Basin</t>
  </si>
  <si>
    <t>SBHB</t>
  </si>
  <si>
    <t>Koch et al. (2003) SBHB composite level (m; datum as entered)</t>
  </si>
  <si>
    <t>Clyde et al. (2007) level (m; native framework)</t>
  </si>
  <si>
    <t>Entered source relationship</t>
  </si>
  <si>
    <t>age entered; stratigraphic level unresolved</t>
  </si>
  <si>
    <t>Clyde et al. (2007), GTS2020 Source label 'Top of C24n.2n' standardized to equivalent boundary name 'Base C24n.1r'.</t>
  </si>
  <si>
    <t>Base C24r</t>
  </si>
  <si>
    <t>magnetochron_base</t>
  </si>
  <si>
    <t>primary_calibration_reference</t>
  </si>
  <si>
    <t>timescale</t>
  </si>
  <si>
    <t>Pg GTS2020 Magnetochrons</t>
  </si>
  <si>
    <t>GTS2020</t>
  </si>
  <si>
    <t>Standardized age-calibration tables</t>
  </si>
  <si>
    <t>Purpose</t>
  </si>
  <si>
    <t>Machine-readable copies of the locality age-prior tables. All original worksheets are preserved unchanged.</t>
  </si>
  <si>
    <t>Non-destructive rule</t>
  </si>
  <si>
    <t>No existing stratigraphic height or age relationship was modified. Blank stratigraphic positions remain blank; no inferred SBHB meter levels were inserted.</t>
  </si>
  <si>
    <t>Age linkage</t>
  </si>
  <si>
    <t>Where an event has an exact equivalent in 'Pg GTS2020 Magnetochrons', age_Ma is a formula pointing to that reference sheet. Non-magnetochron ages retain the entered locality-sheet value.</t>
  </si>
  <si>
    <t>Boundary naming</t>
  </si>
  <si>
    <t>'Top of C24n.2n' is standardized as the equivalent boundary 'Base C24n.1r'; the source wording is retained in basis_comments.</t>
  </si>
  <si>
    <t>Primary stratigraphy</t>
  </si>
  <si>
    <t>CFB uses est_Depth_m_PCB_outcrop. MCP uses Koch2003_m_above_Kpg. SBHB uses Koch2003_level_m when present. Alternate published meter frameworks are retained separately.</t>
  </si>
  <si>
    <t>Source traceability</t>
  </si>
  <si>
    <t>source_sheet and source_row identify the exact original record. basis_comments preserves the original basis text and records any label-only standardization.</t>
  </si>
  <si>
    <t>TRUE only where the standardized primary strat_height_m and age_Ma are both populated. Unresolved SBHB rows remain documented but are FALSE so they cannot be used accidentally as interpolation priors.</t>
  </si>
  <si>
    <t>Recommended R filter</t>
  </si>
  <si>
    <t>filter(use_as_age_prior, !is.na(strat_height_m), !is.na(age_Ma))</t>
  </si>
  <si>
    <t>Worksheet</t>
  </si>
  <si>
    <t>Description</t>
  </si>
  <si>
    <t>CFB_standardized</t>
  </si>
  <si>
    <t>Clean copy of Clarks Fork Basin/PCB relationships, including core-to-outcrop fields.</t>
  </si>
  <si>
    <t>MCP_standardized</t>
  </si>
  <si>
    <t>Clean copy of McCullough Peaks relationships, with Koch 2003 primary and Clyde 1994 alternate heights.</t>
  </si>
  <si>
    <t>SBHB_standardized</t>
  </si>
  <si>
    <t>Clean copy of Southern Bighorn Basin entries. Existing unresolved meter levels remain blank.</t>
  </si>
  <si>
    <t>GTS2020_standardized</t>
  </si>
  <si>
    <t>Clean reference copy of the magnetochron age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</si>
</sst>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"/>
    <numFmt numFmtId="165" formatCode="0.000"/>
  </numFmts>
  <fonts count="12">
    <font>
      <sz val="11"/>
      <name val="Carlito"/>
    </font>
    <font>
      <sz val="12"/>
      <color theme="1"/>
      <name val="Calibri"/>
      <family val="2"/>
    </font>
    <font>
      <b/>
      <sz val="11"/>
      <color rgb="FF17365D"/>
      <name val="Carlito"/>
    </font>
    <font>
      <sz val="10"/>
      <name val="Carlito"/>
    </font>
    <font>
      <b/>
      <sz val="12"/>
      <color theme="1"/>
      <name val="Calibri"/>
      <family val="2"/>
    </font>
    <font>
      <sz val="12"/>
      <color rgb="FFC00000"/>
      <name val="Calibri"/>
      <family val="2"/>
    </font>
    <font>
      <sz val="12"/>
      <color rgb="FF00B050"/>
      <name val="Calibri"/>
      <family val="2"/>
    </font>
    <font>
      <sz val="12"/>
      <color rgb="FF000000"/>
      <name val="Aptos Narrow"/>
    </font>
    <font>
      <sz val="10"/>
      <color rgb="FF1F2937"/>
      <name val="Aptos"/>
    </font>
    <font>
      <b/>
      <sz val="10"/>
      <color rgb="FFFFFFFF"/>
      <name val="Aptos"/>
    </font>
    <font>
      <b/>
      <sz val="16"/>
      <color rgb="FFFFFFFF"/>
      <name val="Aptos Display"/>
    </font>
    <font>
      <b/>
      <sz val="10"/>
      <color rgb="FF1F2937"/>
      <name val="Aptos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right" vertical="center"/>
    </xf>
    <xf numFmtId="1" fontId="3" fillId="0" borderId="3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4" xfId="0" applyBorder="1"/>
    <xf numFmtId="0" fontId="0" fillId="3" borderId="4" xfId="0" applyFill="1" applyBorder="1"/>
    <xf numFmtId="0" fontId="1" fillId="0" borderId="4" xfId="0" applyFont="1" applyBorder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2" fillId="2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9" fillId="4" borderId="5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8" fillId="0" borderId="8" xfId="0" applyFont="1" applyBorder="1" applyAlignment="1">
      <alignment vertical="top"/>
    </xf>
    <xf numFmtId="164" fontId="8" fillId="0" borderId="8" xfId="0" applyNumberFormat="1" applyFont="1" applyBorder="1" applyAlignment="1">
      <alignment vertical="top"/>
    </xf>
    <xf numFmtId="165" fontId="8" fillId="0" borderId="8" xfId="0" applyNumberFormat="1" applyFont="1" applyBorder="1" applyAlignment="1">
      <alignment vertical="top"/>
    </xf>
    <xf numFmtId="0" fontId="8" fillId="0" borderId="8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9" xfId="0" applyFont="1" applyBorder="1" applyAlignment="1">
      <alignment vertical="top"/>
    </xf>
    <xf numFmtId="164" fontId="8" fillId="0" borderId="9" xfId="0" applyNumberFormat="1" applyFont="1" applyBorder="1" applyAlignment="1">
      <alignment vertical="top"/>
    </xf>
    <xf numFmtId="165" fontId="8" fillId="0" borderId="9" xfId="0" applyNumberFormat="1" applyFont="1" applyBorder="1" applyAlignment="1">
      <alignment vertical="top"/>
    </xf>
    <xf numFmtId="0" fontId="8" fillId="0" borderId="9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0" xfId="0" applyFont="1" applyBorder="1" applyAlignment="1">
      <alignment vertical="top"/>
    </xf>
    <xf numFmtId="164" fontId="8" fillId="0" borderId="10" xfId="0" applyNumberFormat="1" applyFont="1" applyBorder="1" applyAlignment="1">
      <alignment vertical="top"/>
    </xf>
    <xf numFmtId="165" fontId="8" fillId="0" borderId="10" xfId="0" applyNumberFormat="1" applyFont="1" applyBorder="1" applyAlignment="1">
      <alignment vertical="top"/>
    </xf>
    <xf numFmtId="0" fontId="8" fillId="0" borderId="10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9" fillId="4" borderId="0" xfId="0" applyFont="1" applyFill="1" applyAlignment="1">
      <alignment wrapText="1"/>
    </xf>
    <xf numFmtId="165" fontId="8" fillId="0" borderId="0" xfId="0" applyNumberFormat="1" applyFont="1"/>
    <xf numFmtId="0" fontId="8" fillId="0" borderId="0" xfId="0" applyFont="1" applyAlignment="1">
      <alignment wrapText="1"/>
    </xf>
    <xf numFmtId="0" fontId="11" fillId="5" borderId="9" xfId="0" applyFont="1" applyFill="1" applyBorder="1" applyAlignment="1">
      <alignment vertical="top" wrapText="1"/>
    </xf>
    <xf numFmtId="0" fontId="0" fillId="0" borderId="9" xfId="0" applyBorder="1" applyAlignment="1">
      <alignment wrapText="1"/>
    </xf>
    <xf numFmtId="0" fontId="9" fillId="6" borderId="9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10" fillId="4" borderId="8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u val="none"/>
        <sz val="10"/>
        <color auto="1"/>
        <name val="Carlito"/>
        <scheme val="none"/>
      </font>
      <numFmt numFmtId="2" formatCode="0.00"/>
    </dxf>
    <dxf>
      <font>
        <u val="none"/>
        <sz val="10"/>
        <color auto="1"/>
        <name val="Carlito"/>
        <scheme val="none"/>
      </font>
      <numFmt numFmtId="1" formatCode="0"/>
      <border>
        <left/>
        <right/>
        <top style="thin">
          <color rgb="FFE6E6E6"/>
        </top>
        <bottom style="thin">
          <color rgb="FFE6E6E6"/>
        </bottom>
      </border>
    </dxf>
    <dxf>
      <font>
        <u val="none"/>
        <sz val="10"/>
        <color auto="1"/>
        <name val="Carlito"/>
        <scheme val="none"/>
      </font>
      <numFmt numFmtId="2" formatCode="0.00"/>
      <border>
        <left/>
        <right/>
        <top style="thin">
          <color rgb="FFE6E6E6"/>
        </top>
        <bottom style="thin">
          <color rgb="FFE6E6E6"/>
        </bottom>
      </border>
    </dxf>
    <dxf>
      <font>
        <u val="none"/>
        <sz val="10"/>
        <color auto="1"/>
        <name val="Carlito"/>
        <scheme val="none"/>
      </font>
      <border>
        <left/>
        <right/>
        <top style="thin">
          <color rgb="FFE6E6E6"/>
        </top>
        <bottom style="thin">
          <color rgb="FFE6E6E6"/>
        </bottom>
      </border>
    </dxf>
    <dxf>
      <font>
        <u val="none"/>
        <sz val="10"/>
        <color auto="1"/>
        <name val="Carlito"/>
        <scheme val="none"/>
      </font>
      <numFmt numFmtId="2" formatCode="0.00"/>
    </dxf>
    <dxf>
      <font>
        <u val="none"/>
        <sz val="10"/>
        <color auto="1"/>
        <name val="Carlito"/>
        <scheme val="none"/>
      </font>
      <border>
        <left/>
        <right/>
        <top style="thin">
          <color rgb="FFE6E6E6"/>
        </top>
        <bottom style="thin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cCulloughPeaksTable" displayName="McCulloughPeaksTable" ref="A1:E20" totalsRowShown="0">
  <tableColumns count="5">
    <tableColumn id="1" xr3:uid="{00000000-0010-0000-0000-000001000000}" name="Event"/>
    <tableColumn id="5" xr3:uid="{00000000-0010-0000-0000-000005000000}" name="Clyde1994_m_level" dataDxfId="5"/>
    <tableColumn id="2" xr3:uid="{00000000-0010-0000-0000-000002000000}" name="Koch2003_m_above_Kpg"/>
    <tableColumn id="3" xr3:uid="{00000000-0010-0000-0000-000003000000}" name="Age (Ma)"/>
    <tableColumn id="4" xr3:uid="{00000000-0010-0000-0000-000004000000}" name="basi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outhernBighornBasinTable" displayName="SouthernBighornBasinTable" ref="A1:F8" totalsRowShown="0">
  <tableColumns count="6">
    <tableColumn id="1" xr3:uid="{00000000-0010-0000-0100-000001000000}" name="Event"/>
    <tableColumn id="6" xr3:uid="{00000000-0010-0000-0100-000006000000}" name="Clyde2007_level_m" dataDxfId="3"/>
    <tableColumn id="2" xr3:uid="{00000000-0010-0000-0100-000002000000}" name="Koch2003_level_m"/>
    <tableColumn id="3" xr3:uid="{00000000-0010-0000-0100-000003000000}" name="Age (Ma)" dataDxfId="2"/>
    <tableColumn id="5" xr3:uid="{00000000-0010-0000-0100-000005000000}" name="Age 95% CI" dataDxfId="1"/>
    <tableColumn id="4" xr3:uid="{00000000-0010-0000-0100-000004000000}" name="ba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showGridLines="0" workbookViewId="0">
      <selection activeCell="K35" sqref="K35"/>
    </sheetView>
  </sheetViews>
  <sheetFormatPr baseColWidth="10" defaultColWidth="8.83203125" defaultRowHeight="14"/>
  <cols>
    <col min="1" max="1" width="24.1640625" customWidth="1"/>
    <col min="2" max="2" width="17.1640625" customWidth="1"/>
    <col min="3" max="3" width="16.83203125" customWidth="1"/>
    <col min="4" max="4" width="23" customWidth="1"/>
    <col min="5" max="5" width="19.1640625" customWidth="1"/>
    <col min="6" max="6" width="108.33203125" customWidth="1"/>
  </cols>
  <sheetData>
    <row r="1" spans="1:16" ht="26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2" customHeight="1">
      <c r="A2" s="10"/>
      <c r="B2" s="10"/>
      <c r="C2" s="10"/>
      <c r="D2" s="10">
        <v>2200</v>
      </c>
      <c r="E2" s="10">
        <v>54</v>
      </c>
      <c r="F2" s="10" t="s">
        <v>6</v>
      </c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>
      <c r="A3" s="10">
        <v>55.625999999999998</v>
      </c>
      <c r="B3" s="10">
        <v>7.9</v>
      </c>
      <c r="C3" s="10">
        <f t="shared" ref="C3:C14" si="0">$B$17-B3</f>
        <v>107.44999999999999</v>
      </c>
      <c r="D3" s="10">
        <f t="shared" ref="D3:D16" ca="1" si="1">D$17+C3</f>
        <v>1613.8</v>
      </c>
      <c r="E3" s="10">
        <v>55.625999999999998</v>
      </c>
      <c r="F3" s="10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>
      <c r="A4" s="10">
        <v>55.646999999999998</v>
      </c>
      <c r="B4" s="10">
        <v>16.100000000000001</v>
      </c>
      <c r="C4" s="10">
        <f t="shared" si="0"/>
        <v>99.25</v>
      </c>
      <c r="D4" s="10">
        <f t="shared" ca="1" si="1"/>
        <v>1605.6</v>
      </c>
      <c r="E4" s="10">
        <v>55.646999999999998</v>
      </c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>
        <v>55.667999999999999</v>
      </c>
      <c r="B5" s="10">
        <v>23.5</v>
      </c>
      <c r="C5" s="10">
        <f t="shared" si="0"/>
        <v>91.85</v>
      </c>
      <c r="D5" s="10">
        <f t="shared" ca="1" si="1"/>
        <v>1598.2</v>
      </c>
      <c r="E5" s="10">
        <v>55.667999999999999</v>
      </c>
      <c r="F5" s="10" t="s">
        <v>7</v>
      </c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>
        <v>55.689</v>
      </c>
      <c r="B6" s="10">
        <v>31.2</v>
      </c>
      <c r="C6" s="10">
        <f t="shared" si="0"/>
        <v>84.149999999999991</v>
      </c>
      <c r="D6" s="10">
        <f t="shared" ca="1" si="1"/>
        <v>1590.5</v>
      </c>
      <c r="E6" s="10">
        <v>55.689</v>
      </c>
      <c r="F6" s="10" t="s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10">
        <v>55.71</v>
      </c>
      <c r="B7" s="10">
        <v>38.200000000000003</v>
      </c>
      <c r="C7" s="10">
        <f t="shared" si="0"/>
        <v>77.149999999999991</v>
      </c>
      <c r="D7" s="10">
        <f t="shared" ca="1" si="1"/>
        <v>1583.5</v>
      </c>
      <c r="E7" s="10">
        <v>55.71</v>
      </c>
      <c r="F7" s="10" t="s">
        <v>7</v>
      </c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>
        <v>55.731000000000002</v>
      </c>
      <c r="B8" s="10">
        <v>44.6</v>
      </c>
      <c r="C8" s="10">
        <f t="shared" si="0"/>
        <v>70.75</v>
      </c>
      <c r="D8" s="10">
        <f t="shared" ca="1" si="1"/>
        <v>1577.1</v>
      </c>
      <c r="E8" s="10">
        <v>55.731000000000002</v>
      </c>
      <c r="F8" s="10" t="s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>
        <v>55.752000000000002</v>
      </c>
      <c r="B9" s="10">
        <v>51</v>
      </c>
      <c r="C9" s="10">
        <f t="shared" si="0"/>
        <v>64.349999999999994</v>
      </c>
      <c r="D9" s="10">
        <f t="shared" ca="1" si="1"/>
        <v>1570.7</v>
      </c>
      <c r="E9" s="10">
        <v>55.752000000000002</v>
      </c>
      <c r="F9" s="10" t="s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10">
        <v>55.773000000000003</v>
      </c>
      <c r="B10" s="10">
        <v>58.2</v>
      </c>
      <c r="C10" s="10">
        <f t="shared" si="0"/>
        <v>57.149999999999991</v>
      </c>
      <c r="D10" s="10">
        <f t="shared" ca="1" si="1"/>
        <v>1563.5</v>
      </c>
      <c r="E10" s="10">
        <v>55.773000000000003</v>
      </c>
      <c r="F10" s="10" t="s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>
        <v>55.793999999999997</v>
      </c>
      <c r="B11" s="10">
        <v>65.849999999999994</v>
      </c>
      <c r="C11" s="10">
        <f t="shared" si="0"/>
        <v>49.5</v>
      </c>
      <c r="D11" s="10">
        <f t="shared" ca="1" si="1"/>
        <v>1555.85</v>
      </c>
      <c r="E11" s="10">
        <v>55.793999999999997</v>
      </c>
      <c r="F11" s="10" t="s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>
        <v>55.814999999999998</v>
      </c>
      <c r="B12" s="10">
        <v>74.400000000000006</v>
      </c>
      <c r="C12" s="10">
        <f t="shared" si="0"/>
        <v>40.949999999999989</v>
      </c>
      <c r="D12" s="10">
        <f t="shared" ca="1" si="1"/>
        <v>1547.3</v>
      </c>
      <c r="E12" s="10">
        <v>55.814999999999998</v>
      </c>
      <c r="F12" s="10" t="s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10">
        <v>55.835999999999999</v>
      </c>
      <c r="B13" s="10">
        <v>82.6</v>
      </c>
      <c r="C13" s="10">
        <f t="shared" si="0"/>
        <v>32.75</v>
      </c>
      <c r="D13" s="10">
        <f t="shared" ca="1" si="1"/>
        <v>1539.1</v>
      </c>
      <c r="E13" s="10">
        <v>55.835999999999999</v>
      </c>
      <c r="F13" s="10" t="s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>
        <v>55.856999999999999</v>
      </c>
      <c r="B14" s="10">
        <v>91.1</v>
      </c>
      <c r="C14" s="10">
        <f t="shared" si="0"/>
        <v>24.25</v>
      </c>
      <c r="D14" s="10">
        <f t="shared" ca="1" si="1"/>
        <v>1530.6</v>
      </c>
      <c r="E14" s="10">
        <v>55.856999999999999</v>
      </c>
      <c r="F14" s="10" t="s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10">
        <v>55.878</v>
      </c>
      <c r="B15" s="10">
        <v>99.7</v>
      </c>
      <c r="C15" s="10">
        <f>$B$17-B15</f>
        <v>15.649999999999991</v>
      </c>
      <c r="D15" s="10">
        <f t="shared" ca="1" si="1"/>
        <v>1522</v>
      </c>
      <c r="E15" s="10">
        <v>55.878</v>
      </c>
      <c r="F15" s="10" t="s">
        <v>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>
      <c r="A16" s="10">
        <v>55.899000000000001</v>
      </c>
      <c r="B16" s="10">
        <v>107.5</v>
      </c>
      <c r="C16" s="10">
        <f t="shared" ref="C16:C17" si="2">$B$17-B16</f>
        <v>7.8499999999999943</v>
      </c>
      <c r="D16" s="10">
        <f t="shared" ca="1" si="1"/>
        <v>1514.2</v>
      </c>
      <c r="E16" s="10">
        <v>55.899000000000001</v>
      </c>
      <c r="F16" s="10" t="s"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10">
        <v>55.92</v>
      </c>
      <c r="B17" s="10">
        <v>115.35</v>
      </c>
      <c r="C17" s="10">
        <f t="shared" si="2"/>
        <v>0</v>
      </c>
      <c r="D17" s="10">
        <f ca="1">D$17+C17</f>
        <v>1506.35</v>
      </c>
      <c r="E17" s="10">
        <v>55.92</v>
      </c>
      <c r="F17" s="10" t="s">
        <v>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11">
        <v>55.93</v>
      </c>
      <c r="B18" s="11">
        <v>118.7</v>
      </c>
      <c r="C18" s="11">
        <v>0</v>
      </c>
      <c r="D18" s="11">
        <v>1503</v>
      </c>
      <c r="E18" s="10">
        <v>55.93</v>
      </c>
      <c r="F18" s="11" t="s">
        <v>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10">
        <v>55.94</v>
      </c>
      <c r="B19" s="10">
        <v>123</v>
      </c>
      <c r="C19" s="10">
        <f>$B$17-B19</f>
        <v>-7.6500000000000057</v>
      </c>
      <c r="D19" s="10">
        <f ca="1">$D$17+C19</f>
        <v>1498.6999999999998</v>
      </c>
      <c r="E19" s="10">
        <v>55.94</v>
      </c>
      <c r="F19" s="10" t="s">
        <v>7</v>
      </c>
      <c r="G19" s="10"/>
      <c r="H19" s="10"/>
      <c r="I19" s="10"/>
      <c r="J19" s="10"/>
      <c r="K19" s="10" t="s">
        <v>9</v>
      </c>
      <c r="L19" s="10"/>
      <c r="M19" s="10"/>
      <c r="N19" s="10"/>
      <c r="O19" s="10"/>
      <c r="P19" s="10"/>
    </row>
    <row r="20" spans="1:16">
      <c r="A20" s="10">
        <v>55.960999999999999</v>
      </c>
      <c r="B20" s="10">
        <v>130</v>
      </c>
      <c r="C20" s="10">
        <f>$B$17-B20</f>
        <v>-14.650000000000006</v>
      </c>
      <c r="D20" s="10">
        <f ca="1">$D$17+C20</f>
        <v>1491.6999999999998</v>
      </c>
      <c r="E20" s="10">
        <v>55.960999999999999</v>
      </c>
      <c r="F20" s="10" t="s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10">
        <v>55.981999999999999</v>
      </c>
      <c r="B21" s="10">
        <v>139.30000000000001</v>
      </c>
      <c r="C21" s="10">
        <f t="shared" ref="C21:C32" si="3">$B$17-B21</f>
        <v>-23.950000000000017</v>
      </c>
      <c r="D21" s="10">
        <f ca="1">$D$17+C21</f>
        <v>1482.3999999999999</v>
      </c>
      <c r="E21" s="10">
        <v>55.981999999999999</v>
      </c>
      <c r="F21" s="10" t="s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10">
        <v>56.003</v>
      </c>
      <c r="B22" s="10">
        <v>146.5</v>
      </c>
      <c r="C22" s="10">
        <f t="shared" si="3"/>
        <v>-31.150000000000006</v>
      </c>
      <c r="D22" s="10">
        <f t="shared" ref="D22:D32" ca="1" si="4">$D$17+C22</f>
        <v>1475.1999999999998</v>
      </c>
      <c r="E22" s="10">
        <v>56.003</v>
      </c>
      <c r="F22" s="10" t="s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>
      <c r="A23" s="10">
        <v>56.024000000000001</v>
      </c>
      <c r="B23" s="10">
        <v>155</v>
      </c>
      <c r="C23" s="10">
        <f t="shared" si="3"/>
        <v>-39.650000000000006</v>
      </c>
      <c r="D23" s="10">
        <f t="shared" ca="1" si="4"/>
        <v>1466.7</v>
      </c>
      <c r="E23" s="10">
        <v>56.024000000000001</v>
      </c>
      <c r="F23" s="10" t="s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>
      <c r="A24" s="10">
        <v>56.045000000000002</v>
      </c>
      <c r="B24" s="10">
        <v>164</v>
      </c>
      <c r="C24" s="10">
        <f t="shared" si="3"/>
        <v>-48.650000000000006</v>
      </c>
      <c r="D24" s="10">
        <f t="shared" ca="1" si="4"/>
        <v>1457.7</v>
      </c>
      <c r="E24" s="10">
        <v>56.045000000000002</v>
      </c>
      <c r="F24" s="10" t="s">
        <v>7</v>
      </c>
      <c r="G24" s="10"/>
      <c r="H24" s="10"/>
      <c r="I24" s="10"/>
      <c r="J24" s="10"/>
      <c r="K24" s="10"/>
      <c r="L24" s="10"/>
      <c r="M24" s="10"/>
      <c r="O24" s="10"/>
      <c r="P24" s="10"/>
    </row>
    <row r="25" spans="1:16">
      <c r="A25" s="10">
        <v>56.066000000000003</v>
      </c>
      <c r="B25" s="10">
        <v>171.2</v>
      </c>
      <c r="C25" s="10">
        <f t="shared" si="3"/>
        <v>-55.849999999999994</v>
      </c>
      <c r="D25" s="10">
        <f t="shared" ca="1" si="4"/>
        <v>1450.5</v>
      </c>
      <c r="E25" s="10">
        <v>56.066000000000003</v>
      </c>
      <c r="F25" s="10" t="s">
        <v>7</v>
      </c>
      <c r="G25" s="10"/>
      <c r="H25" s="10"/>
      <c r="I25" s="10"/>
      <c r="J25" s="10"/>
      <c r="K25" s="10"/>
      <c r="L25" s="10"/>
      <c r="M25" s="10"/>
      <c r="O25" s="10"/>
      <c r="P25" s="10"/>
    </row>
    <row r="26" spans="1:16">
      <c r="A26" s="10">
        <v>56.087000000000003</v>
      </c>
      <c r="B26" s="10">
        <v>181.7</v>
      </c>
      <c r="C26" s="10">
        <f t="shared" si="3"/>
        <v>-66.349999999999994</v>
      </c>
      <c r="D26" s="10">
        <f t="shared" ca="1" si="4"/>
        <v>1440</v>
      </c>
      <c r="E26" s="10">
        <v>56.087000000000003</v>
      </c>
      <c r="F26" s="10" t="s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>
      <c r="A27" s="10">
        <v>56.107999999999997</v>
      </c>
      <c r="B27" s="10">
        <v>189.5</v>
      </c>
      <c r="C27" s="10">
        <f t="shared" si="3"/>
        <v>-74.150000000000006</v>
      </c>
      <c r="D27" s="10">
        <f t="shared" ca="1" si="4"/>
        <v>1432.2</v>
      </c>
      <c r="E27" s="10">
        <v>56.107999999999997</v>
      </c>
      <c r="F27" s="10" t="s">
        <v>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>
      <c r="A28" s="10">
        <v>56.170999999999999</v>
      </c>
      <c r="B28" s="10">
        <v>208.7</v>
      </c>
      <c r="C28" s="10">
        <f t="shared" si="3"/>
        <v>-93.35</v>
      </c>
      <c r="D28" s="10">
        <f t="shared" ca="1" si="4"/>
        <v>1413</v>
      </c>
      <c r="E28" s="10">
        <v>56.170999999999999</v>
      </c>
      <c r="F28" s="10" t="s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>
      <c r="A29" s="10">
        <v>56.234000000000002</v>
      </c>
      <c r="B29" s="10">
        <v>228.6</v>
      </c>
      <c r="C29" s="10">
        <f t="shared" si="3"/>
        <v>-113.25</v>
      </c>
      <c r="D29" s="10">
        <f t="shared" ca="1" si="4"/>
        <v>1393.1</v>
      </c>
      <c r="E29" s="10">
        <v>56.234000000000002</v>
      </c>
      <c r="F29" s="10" t="s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>
      <c r="A30" s="10">
        <v>56.255000000000003</v>
      </c>
      <c r="B30" s="10">
        <v>235.7</v>
      </c>
      <c r="C30" s="10">
        <f t="shared" si="3"/>
        <v>-120.35</v>
      </c>
      <c r="D30" s="10">
        <f t="shared" ca="1" si="4"/>
        <v>1386</v>
      </c>
      <c r="E30" s="10">
        <v>56.255000000000003</v>
      </c>
      <c r="F30" s="10" t="s">
        <v>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>
      <c r="A31" s="10">
        <v>56.276000000000003</v>
      </c>
      <c r="B31" s="10">
        <v>243.5</v>
      </c>
      <c r="C31" s="10">
        <f t="shared" si="3"/>
        <v>-128.15</v>
      </c>
      <c r="D31" s="10">
        <f t="shared" ca="1" si="4"/>
        <v>1378.2</v>
      </c>
      <c r="E31" s="10">
        <v>56.276000000000003</v>
      </c>
      <c r="F31" s="10" t="s">
        <v>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>
      <c r="A32" s="10">
        <v>56.296999999999997</v>
      </c>
      <c r="B32" s="10">
        <v>251.6</v>
      </c>
      <c r="C32" s="10">
        <f t="shared" si="3"/>
        <v>-136.25</v>
      </c>
      <c r="D32" s="10">
        <f t="shared" ca="1" si="4"/>
        <v>1370.1</v>
      </c>
      <c r="E32" s="10">
        <v>56.296999999999997</v>
      </c>
      <c r="F32" s="10" t="s">
        <v>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>
      <c r="A33" s="10"/>
      <c r="B33" s="10"/>
      <c r="C33" s="10"/>
      <c r="D33" s="10">
        <v>787</v>
      </c>
      <c r="E33" s="10">
        <v>57.655999999999999</v>
      </c>
      <c r="F33" s="10" t="s">
        <v>12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0"/>
      <c r="B34" s="10"/>
      <c r="C34" s="10"/>
      <c r="D34" s="10">
        <v>470</v>
      </c>
      <c r="E34" s="10">
        <v>58.959000000000003</v>
      </c>
      <c r="F34" s="10" t="s">
        <v>13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>
      <c r="A35" s="10"/>
      <c r="B35" s="10"/>
      <c r="C35" s="10"/>
      <c r="D35" s="10">
        <v>370</v>
      </c>
      <c r="E35" s="10">
        <v>59.237000000000002</v>
      </c>
      <c r="F35" s="10" t="s">
        <v>14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>
      <c r="A36" s="10"/>
      <c r="B36" s="10"/>
      <c r="C36" s="10"/>
      <c r="D36" s="10">
        <v>331</v>
      </c>
      <c r="E36" s="10">
        <v>59.3</v>
      </c>
      <c r="F36" s="10" t="s">
        <v>15</v>
      </c>
      <c r="G36" s="10"/>
      <c r="H36" s="10"/>
      <c r="I36" s="10"/>
      <c r="J36" s="10"/>
      <c r="K36" s="10"/>
      <c r="L36" s="10"/>
      <c r="M36" s="10"/>
      <c r="N36" s="10" t="s">
        <v>10</v>
      </c>
      <c r="O36" s="10"/>
      <c r="P36" s="10"/>
    </row>
    <row r="37" spans="1:16" ht="16">
      <c r="A37" s="10"/>
      <c r="B37" s="10"/>
      <c r="C37" s="10"/>
      <c r="D37" s="10">
        <v>83</v>
      </c>
      <c r="E37" s="10">
        <v>62.277999999999999</v>
      </c>
      <c r="F37" s="12" t="s">
        <v>16</v>
      </c>
      <c r="G37" s="10"/>
      <c r="H37" s="10"/>
      <c r="I37" s="10"/>
      <c r="J37" s="10"/>
      <c r="K37" s="10"/>
      <c r="L37" s="10"/>
      <c r="M37" s="10"/>
      <c r="N37" s="10" t="s">
        <v>11</v>
      </c>
      <c r="O37" s="10"/>
      <c r="P37" s="10"/>
    </row>
    <row r="38" spans="1:1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1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3" t="s">
        <v>17</v>
      </c>
      <c r="M39" s="13" t="s">
        <v>18</v>
      </c>
      <c r="N39" s="10"/>
      <c r="O39" s="13" t="s">
        <v>17</v>
      </c>
      <c r="P39" s="13" t="s">
        <v>19</v>
      </c>
    </row>
    <row r="40" spans="1:16" ht="1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 t="s">
        <v>20</v>
      </c>
      <c r="M40" s="14">
        <v>55.777999999999999</v>
      </c>
      <c r="N40" s="10"/>
      <c r="O40" s="10" t="s">
        <v>20</v>
      </c>
      <c r="P40" s="14">
        <v>1553.5</v>
      </c>
    </row>
    <row r="41" spans="1:16" ht="1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 t="s">
        <v>21</v>
      </c>
      <c r="M41" s="14">
        <v>55.796999999999997</v>
      </c>
      <c r="N41" s="10"/>
      <c r="O41" s="10" t="s">
        <v>21</v>
      </c>
      <c r="P41" s="14">
        <v>1549.5</v>
      </c>
    </row>
    <row r="42" spans="1:16" ht="1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 t="s">
        <v>22</v>
      </c>
      <c r="M42" s="14">
        <v>55.817</v>
      </c>
      <c r="N42" s="10"/>
      <c r="O42" s="10" t="s">
        <v>22</v>
      </c>
      <c r="P42" s="14">
        <v>1542</v>
      </c>
    </row>
    <row r="43" spans="1:16" ht="1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 t="s">
        <v>23</v>
      </c>
      <c r="M43" s="14">
        <v>55.84</v>
      </c>
      <c r="N43" s="10"/>
      <c r="O43" s="10" t="s">
        <v>23</v>
      </c>
      <c r="P43" s="14">
        <v>1536.5</v>
      </c>
    </row>
    <row r="44" spans="1:16" ht="1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 t="s">
        <v>24</v>
      </c>
      <c r="M44" s="14">
        <v>55.857999999999997</v>
      </c>
      <c r="N44" s="10"/>
      <c r="O44" s="10" t="s">
        <v>25</v>
      </c>
      <c r="P44" s="14">
        <v>1530</v>
      </c>
    </row>
    <row r="45" spans="1:16" ht="1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 t="s">
        <v>26</v>
      </c>
      <c r="M45" s="14">
        <v>55.883000000000003</v>
      </c>
      <c r="N45" s="10"/>
      <c r="O45" s="10" t="s">
        <v>26</v>
      </c>
      <c r="P45" s="14">
        <v>1522</v>
      </c>
    </row>
    <row r="46" spans="1:16" ht="1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 t="s">
        <v>27</v>
      </c>
      <c r="M46" s="14">
        <v>55.9</v>
      </c>
      <c r="N46" s="10"/>
      <c r="O46" s="10" t="s">
        <v>28</v>
      </c>
      <c r="P46" s="14">
        <v>1516</v>
      </c>
    </row>
    <row r="47" spans="1:16" ht="1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 t="s">
        <v>29</v>
      </c>
      <c r="M47" s="15">
        <v>55.914999999999999</v>
      </c>
      <c r="N47" s="10"/>
      <c r="O47" s="10" t="s">
        <v>30</v>
      </c>
      <c r="P47" s="14">
        <v>1509</v>
      </c>
    </row>
    <row r="48" spans="1:16" ht="1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 t="s">
        <v>31</v>
      </c>
      <c r="M48" s="15">
        <v>55.921999999999997</v>
      </c>
      <c r="N48" s="10"/>
      <c r="O48" s="10" t="s">
        <v>31</v>
      </c>
      <c r="P48" s="15">
        <v>1505</v>
      </c>
    </row>
    <row r="49" spans="1:16" ht="1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 t="s">
        <v>32</v>
      </c>
      <c r="P49" s="15">
        <v>1500</v>
      </c>
    </row>
    <row r="50" spans="1:16" ht="1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 t="s">
        <v>33</v>
      </c>
      <c r="M50" s="15">
        <v>55.954999999999998</v>
      </c>
      <c r="N50" s="10"/>
      <c r="O50" s="10" t="s">
        <v>33</v>
      </c>
      <c r="P50" s="14">
        <v>1496</v>
      </c>
    </row>
    <row r="51" spans="1:16" ht="1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 t="s">
        <v>34</v>
      </c>
      <c r="M51" s="14">
        <v>55.984999999999999</v>
      </c>
      <c r="N51" s="10"/>
      <c r="O51" s="10" t="s">
        <v>35</v>
      </c>
      <c r="P51" s="14">
        <v>1487</v>
      </c>
    </row>
    <row r="52" spans="1:16" ht="1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 t="s">
        <v>36</v>
      </c>
      <c r="M52" s="14">
        <v>56</v>
      </c>
      <c r="N52" s="10"/>
      <c r="O52" s="10" t="s">
        <v>37</v>
      </c>
      <c r="P52" s="14">
        <v>1481</v>
      </c>
    </row>
    <row r="53" spans="1:16" ht="16">
      <c r="L53" t="s">
        <v>20</v>
      </c>
      <c r="M53" s="8">
        <v>55.777999999999999</v>
      </c>
      <c r="O53" t="s">
        <v>20</v>
      </c>
      <c r="P53" s="8">
        <v>1553.5</v>
      </c>
    </row>
    <row r="54" spans="1:16" ht="16">
      <c r="L54" t="s">
        <v>21</v>
      </c>
      <c r="M54" s="8">
        <v>55.796999999999997</v>
      </c>
      <c r="O54" t="s">
        <v>21</v>
      </c>
      <c r="P54" s="8">
        <v>1549.5</v>
      </c>
    </row>
    <row r="55" spans="1:16" ht="16">
      <c r="L55" t="s">
        <v>22</v>
      </c>
      <c r="M55" s="8">
        <v>55.817</v>
      </c>
      <c r="O55" t="s">
        <v>22</v>
      </c>
      <c r="P55" s="8">
        <v>1542</v>
      </c>
    </row>
    <row r="56" spans="1:16" ht="16">
      <c r="L56" t="s">
        <v>23</v>
      </c>
      <c r="M56" s="8">
        <v>55.84</v>
      </c>
      <c r="O56" t="s">
        <v>23</v>
      </c>
      <c r="P56" s="8">
        <v>1536.5</v>
      </c>
    </row>
    <row r="57" spans="1:16" ht="16">
      <c r="L57" t="s">
        <v>24</v>
      </c>
      <c r="M57" s="8">
        <v>55.857999999999997</v>
      </c>
      <c r="O57" t="s">
        <v>25</v>
      </c>
      <c r="P57" s="8">
        <v>1530</v>
      </c>
    </row>
    <row r="58" spans="1:16" ht="16">
      <c r="L58" t="s">
        <v>26</v>
      </c>
      <c r="M58" s="8">
        <v>55.883000000000003</v>
      </c>
      <c r="O58" t="s">
        <v>26</v>
      </c>
      <c r="P58" s="8">
        <v>1522</v>
      </c>
    </row>
    <row r="59" spans="1:16" ht="16">
      <c r="L59" t="s">
        <v>27</v>
      </c>
      <c r="M59" s="8">
        <v>55.9</v>
      </c>
      <c r="O59" t="s">
        <v>28</v>
      </c>
      <c r="P59" s="8">
        <v>1516</v>
      </c>
    </row>
    <row r="60" spans="1:16" ht="16">
      <c r="L60" t="s">
        <v>29</v>
      </c>
      <c r="M60" s="9">
        <v>55.914999999999999</v>
      </c>
      <c r="O60" t="s">
        <v>30</v>
      </c>
      <c r="P60" s="8">
        <v>1509</v>
      </c>
    </row>
    <row r="61" spans="1:16" ht="16">
      <c r="L61" t="s">
        <v>31</v>
      </c>
      <c r="M61" s="9">
        <v>55.921999999999997</v>
      </c>
      <c r="O61" t="s">
        <v>31</v>
      </c>
      <c r="P61" s="9">
        <v>1505</v>
      </c>
    </row>
    <row r="62" spans="1:16" ht="16">
      <c r="O62" t="s">
        <v>32</v>
      </c>
      <c r="P62" s="9">
        <v>1500</v>
      </c>
    </row>
    <row r="63" spans="1:16" ht="16">
      <c r="L63" t="s">
        <v>33</v>
      </c>
      <c r="M63" s="9">
        <v>55.954999999999998</v>
      </c>
      <c r="O63" t="s">
        <v>33</v>
      </c>
      <c r="P63" s="8">
        <v>1496</v>
      </c>
    </row>
    <row r="64" spans="1:16" ht="16">
      <c r="L64" t="s">
        <v>34</v>
      </c>
      <c r="M64" s="8">
        <v>55.984999999999999</v>
      </c>
      <c r="O64" t="s">
        <v>35</v>
      </c>
      <c r="P64" s="8">
        <v>1487</v>
      </c>
    </row>
    <row r="65" spans="12:16" ht="16">
      <c r="L65" t="s">
        <v>36</v>
      </c>
      <c r="M65" s="8">
        <v>56</v>
      </c>
      <c r="O65" t="s">
        <v>37</v>
      </c>
      <c r="P65" s="8">
        <v>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workbookViewId="0"/>
  </sheetViews>
  <sheetFormatPr baseColWidth="10" defaultColWidth="8.83203125" defaultRowHeight="14"/>
  <cols>
    <col min="1" max="1" width="32.1640625" customWidth="1"/>
    <col min="2" max="2" width="10.5" customWidth="1"/>
    <col min="3" max="3" width="18.1640625" customWidth="1"/>
    <col min="4" max="4" width="14" customWidth="1"/>
  </cols>
  <sheetData>
    <row r="1" spans="1:10" ht="22" customHeight="1">
      <c r="A1" s="1" t="s">
        <v>38</v>
      </c>
      <c r="B1" s="1" t="s">
        <v>39</v>
      </c>
      <c r="C1" s="1" t="s">
        <v>40</v>
      </c>
      <c r="D1" s="1" t="s">
        <v>41</v>
      </c>
      <c r="E1" s="16" t="s">
        <v>5</v>
      </c>
    </row>
    <row r="2" spans="1:10" ht="16">
      <c r="A2" s="2" t="s">
        <v>42</v>
      </c>
      <c r="B2" s="2">
        <v>1390</v>
      </c>
      <c r="C2" s="4">
        <v>2515</v>
      </c>
      <c r="D2" s="19">
        <v>53.02</v>
      </c>
      <c r="E2" t="s">
        <v>43</v>
      </c>
    </row>
    <row r="3" spans="1:10">
      <c r="A3" s="2" t="s">
        <v>44</v>
      </c>
      <c r="B3">
        <v>1340</v>
      </c>
      <c r="C3" s="4">
        <v>2460</v>
      </c>
      <c r="D3">
        <v>53.12</v>
      </c>
      <c r="E3" t="s">
        <v>43</v>
      </c>
    </row>
    <row r="4" spans="1:10">
      <c r="A4" s="2" t="s">
        <v>45</v>
      </c>
      <c r="B4" s="2">
        <v>1300</v>
      </c>
      <c r="C4">
        <v>2420</v>
      </c>
      <c r="D4">
        <v>53.25</v>
      </c>
      <c r="E4" t="s">
        <v>43</v>
      </c>
    </row>
    <row r="5" spans="1:10" ht="16">
      <c r="A5" s="2" t="s">
        <v>46</v>
      </c>
      <c r="B5" s="2">
        <v>950</v>
      </c>
      <c r="C5" s="4">
        <v>2100</v>
      </c>
      <c r="D5" s="19">
        <v>53.9</v>
      </c>
      <c r="E5" t="s">
        <v>43</v>
      </c>
    </row>
    <row r="6" spans="1:10" ht="16">
      <c r="A6" s="2" t="s">
        <v>47</v>
      </c>
      <c r="B6" s="2">
        <v>0</v>
      </c>
      <c r="C6" s="4">
        <v>1195</v>
      </c>
      <c r="D6" s="19">
        <v>55.9</v>
      </c>
      <c r="E6" s="19" t="s">
        <v>48</v>
      </c>
      <c r="G6" s="17"/>
      <c r="H6" s="19"/>
    </row>
    <row r="7" spans="1:10" ht="16">
      <c r="A7" s="2"/>
      <c r="B7" s="2"/>
      <c r="C7" s="4"/>
      <c r="D7" s="19"/>
      <c r="I7" s="19"/>
      <c r="J7" s="19"/>
    </row>
    <row r="8" spans="1:10" ht="16">
      <c r="A8" s="2"/>
      <c r="B8" s="2"/>
      <c r="C8" s="4"/>
      <c r="D8" s="19"/>
      <c r="I8" s="19"/>
      <c r="J8" s="19"/>
    </row>
    <row r="9" spans="1:10" ht="16">
      <c r="A9" s="3"/>
      <c r="B9" s="3"/>
      <c r="C9" s="5"/>
      <c r="D9" s="19"/>
      <c r="I9" s="19"/>
      <c r="J9" s="19"/>
    </row>
    <row r="10" spans="1:10" ht="16">
      <c r="A10" s="2"/>
      <c r="B10" s="2"/>
      <c r="C10" s="4"/>
      <c r="D10" s="6"/>
      <c r="E10" s="17"/>
      <c r="I10" s="19"/>
      <c r="J10" s="19"/>
    </row>
    <row r="11" spans="1:10" ht="16">
      <c r="A11" s="2"/>
      <c r="B11" s="2"/>
      <c r="C11" s="4"/>
      <c r="D11" s="6"/>
      <c r="E11" s="17"/>
      <c r="I11" s="19"/>
      <c r="J11" s="19"/>
    </row>
    <row r="12" spans="1:10" ht="16">
      <c r="I12" s="19"/>
      <c r="J12" s="19"/>
    </row>
    <row r="13" spans="1:10" ht="16">
      <c r="A13" s="2"/>
      <c r="B13" s="2"/>
      <c r="C13" s="4"/>
      <c r="D13" s="6"/>
      <c r="E13" s="17"/>
      <c r="I13" s="19"/>
      <c r="J13" s="19"/>
    </row>
    <row r="14" spans="1:10" ht="16">
      <c r="A14" s="2"/>
      <c r="B14" s="2"/>
      <c r="C14" s="4"/>
      <c r="D14" s="6"/>
      <c r="E14" s="17"/>
      <c r="I14" s="19"/>
      <c r="J14" s="19"/>
    </row>
    <row r="15" spans="1:10" ht="16">
      <c r="I15" s="19"/>
      <c r="J15" s="19"/>
    </row>
    <row r="16" spans="1:10" ht="16">
      <c r="A16" s="2"/>
      <c r="B16" s="2"/>
      <c r="C16" s="4"/>
      <c r="D16" s="6"/>
      <c r="E16" s="17"/>
      <c r="I16" s="19"/>
      <c r="J16" s="19"/>
    </row>
    <row r="17" spans="1:10" ht="16">
      <c r="I17" s="19"/>
      <c r="J17" s="19"/>
    </row>
    <row r="18" spans="1:10" ht="16">
      <c r="A18" s="2"/>
      <c r="B18" s="2"/>
      <c r="C18" s="4"/>
      <c r="D18" s="6"/>
      <c r="E18" s="17"/>
      <c r="I18" s="19"/>
      <c r="J18" s="19"/>
    </row>
    <row r="19" spans="1:10">
      <c r="A19" s="2"/>
      <c r="B19" s="2"/>
      <c r="C19" s="4"/>
      <c r="D19" s="6"/>
      <c r="E19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/>
  </sheetViews>
  <sheetFormatPr baseColWidth="10" defaultColWidth="8.83203125" defaultRowHeight="14"/>
  <cols>
    <col min="1" max="1" width="36" customWidth="1"/>
    <col min="2" max="2" width="29.6640625" customWidth="1"/>
    <col min="3" max="3" width="17.6640625" customWidth="1"/>
    <col min="4" max="4" width="14" customWidth="1"/>
    <col min="5" max="5" width="15.83203125" customWidth="1"/>
    <col min="6" max="6" width="14" customWidth="1"/>
  </cols>
  <sheetData>
    <row r="1" spans="1:6" ht="22" customHeight="1">
      <c r="A1" s="1" t="s">
        <v>38</v>
      </c>
      <c r="B1" s="1" t="s">
        <v>49</v>
      </c>
      <c r="C1" s="1" t="s">
        <v>50</v>
      </c>
      <c r="D1" s="1" t="s">
        <v>41</v>
      </c>
      <c r="E1" s="1" t="s">
        <v>51</v>
      </c>
      <c r="F1" s="16" t="s">
        <v>5</v>
      </c>
    </row>
    <row r="2" spans="1:6">
      <c r="A2" s="2" t="s">
        <v>52</v>
      </c>
      <c r="B2" s="2"/>
      <c r="C2" s="4"/>
      <c r="D2">
        <v>53.02</v>
      </c>
      <c r="E2" s="18"/>
      <c r="F2" t="s">
        <v>53</v>
      </c>
    </row>
    <row r="3" spans="1:6">
      <c r="A3" s="2" t="s">
        <v>44</v>
      </c>
      <c r="B3" s="2"/>
      <c r="C3" s="4"/>
      <c r="D3">
        <v>53.12</v>
      </c>
      <c r="E3" s="18"/>
      <c r="F3" t="s">
        <v>53</v>
      </c>
    </row>
    <row r="4" spans="1:6">
      <c r="A4" s="2" t="s">
        <v>46</v>
      </c>
      <c r="B4" s="2"/>
      <c r="C4" s="4"/>
      <c r="D4">
        <v>53.9</v>
      </c>
      <c r="E4" s="18"/>
      <c r="F4" t="s">
        <v>53</v>
      </c>
    </row>
    <row r="5" spans="1:6">
      <c r="A5" s="2" t="s">
        <v>47</v>
      </c>
      <c r="B5" s="2"/>
      <c r="C5" s="4"/>
      <c r="D5" s="6">
        <v>55.9</v>
      </c>
      <c r="E5" s="4"/>
      <c r="F5" s="17" t="s">
        <v>48</v>
      </c>
    </row>
    <row r="6" spans="1:6">
      <c r="A6" s="2" t="s">
        <v>54</v>
      </c>
      <c r="B6" s="2"/>
      <c r="C6" s="4"/>
      <c r="D6">
        <v>57.100999999999999</v>
      </c>
      <c r="E6" s="4"/>
      <c r="F6" t="s">
        <v>53</v>
      </c>
    </row>
    <row r="7" spans="1:6">
      <c r="A7" s="2" t="s">
        <v>55</v>
      </c>
      <c r="B7" s="2"/>
      <c r="C7" s="4"/>
      <c r="D7">
        <v>57.655999999999999</v>
      </c>
      <c r="E7" s="4"/>
      <c r="F7" t="s">
        <v>53</v>
      </c>
    </row>
    <row r="8" spans="1:6">
      <c r="A8" s="3" t="s">
        <v>56</v>
      </c>
      <c r="B8" s="3"/>
      <c r="C8" s="5"/>
      <c r="D8">
        <v>62.277999999999999</v>
      </c>
      <c r="E8" s="5"/>
      <c r="F8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/>
  </sheetViews>
  <sheetFormatPr baseColWidth="10" defaultRowHeight="14"/>
  <cols>
    <col min="1" max="1" width="13.1640625" customWidth="1"/>
  </cols>
  <sheetData>
    <row r="1" spans="1:3" ht="16">
      <c r="A1" s="7" t="s">
        <v>57</v>
      </c>
      <c r="B1" s="7" t="s">
        <v>58</v>
      </c>
      <c r="C1" s="7" t="s">
        <v>59</v>
      </c>
    </row>
    <row r="2" spans="1:3">
      <c r="A2" t="s">
        <v>60</v>
      </c>
      <c r="B2">
        <v>30.977</v>
      </c>
      <c r="C2" t="s">
        <v>61</v>
      </c>
    </row>
    <row r="3" spans="1:3">
      <c r="A3" t="s">
        <v>62</v>
      </c>
      <c r="B3">
        <v>33.213999999999999</v>
      </c>
      <c r="C3" t="s">
        <v>63</v>
      </c>
    </row>
    <row r="4" spans="1:3">
      <c r="A4" t="s">
        <v>64</v>
      </c>
      <c r="B4">
        <v>33.725999999999999</v>
      </c>
      <c r="C4" t="s">
        <v>63</v>
      </c>
    </row>
    <row r="5" spans="1:3">
      <c r="A5" t="s">
        <v>65</v>
      </c>
      <c r="B5">
        <v>35.101999999999997</v>
      </c>
      <c r="C5" t="s">
        <v>66</v>
      </c>
    </row>
    <row r="6" spans="1:3">
      <c r="A6" t="s">
        <v>67</v>
      </c>
      <c r="B6">
        <v>35.335999999999999</v>
      </c>
      <c r="C6" t="s">
        <v>63</v>
      </c>
    </row>
    <row r="7" spans="1:3">
      <c r="A7" t="s">
        <v>68</v>
      </c>
      <c r="B7">
        <v>35.58</v>
      </c>
      <c r="C7" t="s">
        <v>63</v>
      </c>
    </row>
    <row r="8" spans="1:3">
      <c r="A8" t="s">
        <v>69</v>
      </c>
      <c r="B8">
        <v>35.718000000000004</v>
      </c>
      <c r="C8" t="s">
        <v>63</v>
      </c>
    </row>
    <row r="9" spans="1:3">
      <c r="A9" t="s">
        <v>70</v>
      </c>
      <c r="B9">
        <v>35.774000000000001</v>
      </c>
      <c r="C9" t="s">
        <v>63</v>
      </c>
    </row>
    <row r="10" spans="1:3">
      <c r="A10" t="s">
        <v>71</v>
      </c>
      <c r="B10">
        <v>36.350999999999999</v>
      </c>
      <c r="C10" t="s">
        <v>63</v>
      </c>
    </row>
    <row r="11" spans="1:3">
      <c r="A11" t="s">
        <v>72</v>
      </c>
      <c r="B11">
        <v>36.573</v>
      </c>
      <c r="C11" t="s">
        <v>63</v>
      </c>
    </row>
    <row r="12" spans="1:3">
      <c r="A12" t="s">
        <v>73</v>
      </c>
      <c r="B12">
        <v>37.384999999999998</v>
      </c>
      <c r="C12" t="s">
        <v>63</v>
      </c>
    </row>
    <row r="13" spans="1:3">
      <c r="A13" t="s">
        <v>74</v>
      </c>
      <c r="B13">
        <v>37.53</v>
      </c>
      <c r="C13" t="s">
        <v>63</v>
      </c>
    </row>
    <row r="14" spans="1:3">
      <c r="A14" t="s">
        <v>75</v>
      </c>
      <c r="B14">
        <v>37.780999999999999</v>
      </c>
      <c r="C14" t="s">
        <v>63</v>
      </c>
    </row>
    <row r="15" spans="1:3">
      <c r="A15" t="s">
        <v>76</v>
      </c>
      <c r="B15">
        <v>37.857999999999997</v>
      </c>
      <c r="C15" t="s">
        <v>63</v>
      </c>
    </row>
    <row r="16" spans="1:3">
      <c r="A16" t="s">
        <v>77</v>
      </c>
      <c r="B16">
        <v>38.081000000000003</v>
      </c>
      <c r="C16" t="s">
        <v>63</v>
      </c>
    </row>
    <row r="17" spans="1:3">
      <c r="A17" t="s">
        <v>78</v>
      </c>
      <c r="B17">
        <v>38.398000000000003</v>
      </c>
      <c r="C17" t="s">
        <v>63</v>
      </c>
    </row>
    <row r="18" spans="1:3">
      <c r="A18" t="s">
        <v>79</v>
      </c>
      <c r="B18">
        <v>39.582000000000001</v>
      </c>
      <c r="C18" t="s">
        <v>63</v>
      </c>
    </row>
    <row r="19" spans="1:3">
      <c r="A19" t="s">
        <v>80</v>
      </c>
      <c r="B19">
        <v>39.665999999999997</v>
      </c>
      <c r="C19" t="s">
        <v>63</v>
      </c>
    </row>
    <row r="20" spans="1:3">
      <c r="A20" t="s">
        <v>81</v>
      </c>
      <c r="B20">
        <v>40.073</v>
      </c>
      <c r="C20" t="s">
        <v>63</v>
      </c>
    </row>
    <row r="21" spans="1:3">
      <c r="A21" t="s">
        <v>82</v>
      </c>
      <c r="B21">
        <v>41.03</v>
      </c>
      <c r="C21" t="s">
        <v>63</v>
      </c>
    </row>
    <row r="22" spans="1:3">
      <c r="A22" t="s">
        <v>83</v>
      </c>
      <c r="B22">
        <v>41.18</v>
      </c>
      <c r="C22" t="s">
        <v>63</v>
      </c>
    </row>
    <row r="23" spans="1:3">
      <c r="A23" t="s">
        <v>84</v>
      </c>
      <c r="B23">
        <v>42.195999999999998</v>
      </c>
      <c r="C23" t="s">
        <v>85</v>
      </c>
    </row>
    <row r="24" spans="1:3">
      <c r="A24" t="s">
        <v>86</v>
      </c>
      <c r="B24">
        <v>43.45</v>
      </c>
      <c r="C24" t="s">
        <v>87</v>
      </c>
    </row>
    <row r="25" spans="1:3">
      <c r="A25" t="s">
        <v>88</v>
      </c>
      <c r="B25">
        <v>46.234999999999999</v>
      </c>
      <c r="C25" t="s">
        <v>85</v>
      </c>
    </row>
    <row r="26" spans="1:3">
      <c r="A26" t="s">
        <v>89</v>
      </c>
      <c r="B26">
        <v>47.76</v>
      </c>
      <c r="C26" t="s">
        <v>90</v>
      </c>
    </row>
    <row r="27" spans="1:3">
      <c r="A27" t="s">
        <v>91</v>
      </c>
      <c r="B27">
        <v>48.878</v>
      </c>
      <c r="C27" t="s">
        <v>63</v>
      </c>
    </row>
    <row r="28" spans="1:3">
      <c r="A28" t="s">
        <v>92</v>
      </c>
      <c r="B28">
        <v>49.665999999999997</v>
      </c>
      <c r="C28" t="s">
        <v>63</v>
      </c>
    </row>
    <row r="29" spans="1:3">
      <c r="A29" t="s">
        <v>93</v>
      </c>
      <c r="B29">
        <v>50.767000000000003</v>
      </c>
      <c r="C29" t="s">
        <v>63</v>
      </c>
    </row>
    <row r="30" spans="1:3">
      <c r="A30" t="s">
        <v>94</v>
      </c>
      <c r="B30">
        <v>50.996000000000002</v>
      </c>
      <c r="C30" t="s">
        <v>63</v>
      </c>
    </row>
    <row r="31" spans="1:3">
      <c r="A31" t="s">
        <v>95</v>
      </c>
      <c r="B31">
        <v>51.046999999999997</v>
      </c>
      <c r="C31" t="s">
        <v>63</v>
      </c>
    </row>
    <row r="32" spans="1:3">
      <c r="A32" t="s">
        <v>96</v>
      </c>
      <c r="B32">
        <v>51.723999999999997</v>
      </c>
      <c r="C32" t="s">
        <v>63</v>
      </c>
    </row>
    <row r="33" spans="1:3">
      <c r="A33" t="s">
        <v>97</v>
      </c>
      <c r="B33">
        <v>52.54</v>
      </c>
      <c r="C33" t="s">
        <v>63</v>
      </c>
    </row>
    <row r="34" spans="1:3">
      <c r="A34" t="s">
        <v>98</v>
      </c>
      <c r="B34">
        <v>52.93</v>
      </c>
      <c r="C34" t="s">
        <v>63</v>
      </c>
    </row>
    <row r="35" spans="1:3">
      <c r="A35" t="s">
        <v>99</v>
      </c>
      <c r="B35">
        <v>53.02</v>
      </c>
      <c r="C35" t="s">
        <v>63</v>
      </c>
    </row>
    <row r="36" spans="1:3">
      <c r="A36" t="s">
        <v>100</v>
      </c>
      <c r="B36">
        <v>53.12</v>
      </c>
      <c r="C36" t="s">
        <v>63</v>
      </c>
    </row>
    <row r="37" spans="1:3">
      <c r="A37" t="s">
        <v>101</v>
      </c>
      <c r="B37">
        <v>53.25</v>
      </c>
      <c r="C37" t="s">
        <v>63</v>
      </c>
    </row>
    <row r="38" spans="1:3">
      <c r="A38" t="s">
        <v>102</v>
      </c>
      <c r="B38">
        <v>53.9</v>
      </c>
      <c r="C38" t="s">
        <v>63</v>
      </c>
    </row>
    <row r="39" spans="1:3">
      <c r="A39" t="s">
        <v>103</v>
      </c>
      <c r="B39">
        <v>57.100999999999999</v>
      </c>
      <c r="C39" t="s">
        <v>104</v>
      </c>
    </row>
    <row r="40" spans="1:3">
      <c r="A40" t="s">
        <v>105</v>
      </c>
      <c r="B40">
        <v>57.655999999999999</v>
      </c>
      <c r="C40" t="s">
        <v>63</v>
      </c>
    </row>
    <row r="41" spans="1:3">
      <c r="A41" t="s">
        <v>106</v>
      </c>
      <c r="B41">
        <v>58.959000000000003</v>
      </c>
      <c r="C41" t="s">
        <v>63</v>
      </c>
    </row>
    <row r="42" spans="1:3">
      <c r="A42" t="s">
        <v>107</v>
      </c>
      <c r="B42">
        <v>59.237000000000002</v>
      </c>
      <c r="C42" t="s">
        <v>63</v>
      </c>
    </row>
    <row r="43" spans="1:3">
      <c r="A43" t="s">
        <v>108</v>
      </c>
      <c r="B43">
        <v>62.277999999999999</v>
      </c>
      <c r="C43" t="s">
        <v>109</v>
      </c>
    </row>
    <row r="44" spans="1:3">
      <c r="A44" t="s">
        <v>110</v>
      </c>
      <c r="B44">
        <v>62.53</v>
      </c>
      <c r="C44" t="s">
        <v>63</v>
      </c>
    </row>
    <row r="45" spans="1:3">
      <c r="A45" t="s">
        <v>111</v>
      </c>
      <c r="B45">
        <v>63.536999999999999</v>
      </c>
      <c r="C45" t="s">
        <v>63</v>
      </c>
    </row>
    <row r="46" spans="1:3">
      <c r="A46" t="s">
        <v>112</v>
      </c>
      <c r="B46">
        <v>64.644999999999996</v>
      </c>
      <c r="C46" t="s">
        <v>63</v>
      </c>
    </row>
    <row r="47" spans="1:3">
      <c r="A47" t="s">
        <v>113</v>
      </c>
      <c r="B47">
        <v>64.861999999999995</v>
      </c>
      <c r="C47" t="s">
        <v>63</v>
      </c>
    </row>
    <row r="48" spans="1:3">
      <c r="A48" t="s">
        <v>114</v>
      </c>
      <c r="B48">
        <v>65.7</v>
      </c>
      <c r="C48" t="s">
        <v>63</v>
      </c>
    </row>
    <row r="49" spans="1:3">
      <c r="A49" t="s">
        <v>115</v>
      </c>
      <c r="B49">
        <v>66.001000000000005</v>
      </c>
      <c r="C49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showGridLines="0" workbookViewId="0"/>
  </sheetViews>
  <sheetFormatPr baseColWidth="10" defaultColWidth="8.83203125" defaultRowHeight="14"/>
  <cols>
    <col min="1" max="1" width="21" customWidth="1"/>
    <col min="2" max="2" width="11" customWidth="1"/>
    <col min="3" max="3" width="25" customWidth="1"/>
    <col min="4" max="4" width="17" customWidth="1"/>
    <col min="5" max="5" width="16" customWidth="1"/>
    <col min="6" max="6" width="23" customWidth="1"/>
    <col min="7" max="7" width="21" customWidth="1"/>
    <col min="8" max="8" width="27" customWidth="1"/>
    <col min="9" max="9" width="18" customWidth="1"/>
    <col min="10" max="10" width="27" customWidth="1"/>
    <col min="11" max="11" width="12" customWidth="1"/>
    <col min="12" max="13" width="26" customWidth="1"/>
    <col min="14" max="14" width="20" customWidth="1"/>
    <col min="15" max="15" width="16" customWidth="1"/>
    <col min="16" max="16" width="21" customWidth="1"/>
    <col min="17" max="17" width="62" customWidth="1"/>
  </cols>
  <sheetData>
    <row r="1" spans="1:17" ht="34" customHeight="1">
      <c r="A1" s="21" t="s">
        <v>116</v>
      </c>
      <c r="B1" s="22" t="s">
        <v>117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2" t="s">
        <v>123</v>
      </c>
      <c r="I1" s="22" t="s">
        <v>124</v>
      </c>
      <c r="J1" s="22" t="s">
        <v>125</v>
      </c>
      <c r="K1" s="22" t="s">
        <v>126</v>
      </c>
      <c r="L1" s="22" t="s">
        <v>127</v>
      </c>
      <c r="M1" s="22" t="s">
        <v>128</v>
      </c>
      <c r="N1" s="22" t="s">
        <v>129</v>
      </c>
      <c r="O1" s="22" t="s">
        <v>130</v>
      </c>
      <c r="P1" s="22" t="s">
        <v>131</v>
      </c>
      <c r="Q1" s="23" t="s">
        <v>132</v>
      </c>
    </row>
    <row r="2" spans="1:17" ht="15">
      <c r="A2" s="24" t="s">
        <v>133</v>
      </c>
      <c r="B2" s="24">
        <v>2</v>
      </c>
      <c r="C2" s="24" t="s">
        <v>134</v>
      </c>
      <c r="D2" s="24" t="s">
        <v>135</v>
      </c>
      <c r="E2" s="25">
        <v>2200</v>
      </c>
      <c r="F2" s="24" t="s">
        <v>136</v>
      </c>
      <c r="G2" s="25"/>
      <c r="H2" s="24"/>
      <c r="I2" s="25"/>
      <c r="J2" s="24"/>
      <c r="K2" s="26">
        <v>54</v>
      </c>
      <c r="L2" s="24" t="s">
        <v>137</v>
      </c>
      <c r="M2" s="24" t="s">
        <v>138</v>
      </c>
      <c r="N2" s="24" t="s">
        <v>139</v>
      </c>
      <c r="O2" s="27" t="b">
        <v>1</v>
      </c>
      <c r="P2" s="24" t="s">
        <v>140</v>
      </c>
      <c r="Q2" s="36" t="s">
        <v>6</v>
      </c>
    </row>
    <row r="3" spans="1:17" ht="30">
      <c r="A3" s="28" t="s">
        <v>133</v>
      </c>
      <c r="B3" s="28">
        <v>3</v>
      </c>
      <c r="C3" s="28" t="s">
        <v>141</v>
      </c>
      <c r="D3" s="28" t="s">
        <v>135</v>
      </c>
      <c r="E3" s="29">
        <v>1613.8</v>
      </c>
      <c r="F3" s="28" t="s">
        <v>136</v>
      </c>
      <c r="G3" s="29">
        <v>7.9</v>
      </c>
      <c r="H3" s="28" t="s">
        <v>142</v>
      </c>
      <c r="I3" s="29">
        <v>107.44999999999999</v>
      </c>
      <c r="J3" s="28" t="s">
        <v>143</v>
      </c>
      <c r="K3" s="30">
        <v>55.625999999999998</v>
      </c>
      <c r="L3" s="28" t="s">
        <v>144</v>
      </c>
      <c r="M3" s="28" t="s">
        <v>145</v>
      </c>
      <c r="N3" s="28" t="s">
        <v>146</v>
      </c>
      <c r="O3" s="31" t="b">
        <v>1</v>
      </c>
      <c r="P3" s="28" t="s">
        <v>140</v>
      </c>
      <c r="Q3" s="37" t="s">
        <v>147</v>
      </c>
    </row>
    <row r="4" spans="1:17" ht="30">
      <c r="A4" s="28" t="s">
        <v>133</v>
      </c>
      <c r="B4" s="28">
        <v>4</v>
      </c>
      <c r="C4" s="28" t="s">
        <v>141</v>
      </c>
      <c r="D4" s="28" t="s">
        <v>135</v>
      </c>
      <c r="E4" s="29">
        <v>1605.6</v>
      </c>
      <c r="F4" s="28" t="s">
        <v>136</v>
      </c>
      <c r="G4" s="29">
        <v>16.100000000000001</v>
      </c>
      <c r="H4" s="28" t="s">
        <v>142</v>
      </c>
      <c r="I4" s="29">
        <v>99.25</v>
      </c>
      <c r="J4" s="28" t="s">
        <v>143</v>
      </c>
      <c r="K4" s="30">
        <v>55.646999999999998</v>
      </c>
      <c r="L4" s="28" t="s">
        <v>144</v>
      </c>
      <c r="M4" s="28" t="s">
        <v>145</v>
      </c>
      <c r="N4" s="28" t="s">
        <v>146</v>
      </c>
      <c r="O4" s="31" t="b">
        <v>1</v>
      </c>
      <c r="P4" s="28" t="s">
        <v>140</v>
      </c>
      <c r="Q4" s="37" t="s">
        <v>147</v>
      </c>
    </row>
    <row r="5" spans="1:17" ht="30">
      <c r="A5" s="28" t="s">
        <v>133</v>
      </c>
      <c r="B5" s="28">
        <v>5</v>
      </c>
      <c r="C5" s="28" t="s">
        <v>141</v>
      </c>
      <c r="D5" s="28" t="s">
        <v>135</v>
      </c>
      <c r="E5" s="29">
        <v>1598.2</v>
      </c>
      <c r="F5" s="28" t="s">
        <v>136</v>
      </c>
      <c r="G5" s="29">
        <v>23.5</v>
      </c>
      <c r="H5" s="28" t="s">
        <v>142</v>
      </c>
      <c r="I5" s="29">
        <v>91.85</v>
      </c>
      <c r="J5" s="28" t="s">
        <v>143</v>
      </c>
      <c r="K5" s="30">
        <v>55.667999999999999</v>
      </c>
      <c r="L5" s="28" t="s">
        <v>144</v>
      </c>
      <c r="M5" s="28" t="s">
        <v>145</v>
      </c>
      <c r="N5" s="28" t="s">
        <v>146</v>
      </c>
      <c r="O5" s="31" t="b">
        <v>1</v>
      </c>
      <c r="P5" s="28" t="s">
        <v>140</v>
      </c>
      <c r="Q5" s="37" t="s">
        <v>147</v>
      </c>
    </row>
    <row r="6" spans="1:17" ht="30">
      <c r="A6" s="28" t="s">
        <v>133</v>
      </c>
      <c r="B6" s="28">
        <v>6</v>
      </c>
      <c r="C6" s="28" t="s">
        <v>141</v>
      </c>
      <c r="D6" s="28" t="s">
        <v>135</v>
      </c>
      <c r="E6" s="29">
        <v>1590.5</v>
      </c>
      <c r="F6" s="28" t="s">
        <v>136</v>
      </c>
      <c r="G6" s="29">
        <v>31.2</v>
      </c>
      <c r="H6" s="28" t="s">
        <v>142</v>
      </c>
      <c r="I6" s="29">
        <v>84.149999999999991</v>
      </c>
      <c r="J6" s="28" t="s">
        <v>143</v>
      </c>
      <c r="K6" s="30">
        <v>55.689</v>
      </c>
      <c r="L6" s="28" t="s">
        <v>144</v>
      </c>
      <c r="M6" s="28" t="s">
        <v>145</v>
      </c>
      <c r="N6" s="28" t="s">
        <v>146</v>
      </c>
      <c r="O6" s="31" t="b">
        <v>1</v>
      </c>
      <c r="P6" s="28" t="s">
        <v>140</v>
      </c>
      <c r="Q6" s="37" t="s">
        <v>147</v>
      </c>
    </row>
    <row r="7" spans="1:17" ht="30">
      <c r="A7" s="28" t="s">
        <v>133</v>
      </c>
      <c r="B7" s="28">
        <v>7</v>
      </c>
      <c r="C7" s="28" t="s">
        <v>141</v>
      </c>
      <c r="D7" s="28" t="s">
        <v>135</v>
      </c>
      <c r="E7" s="29">
        <v>1583.5</v>
      </c>
      <c r="F7" s="28" t="s">
        <v>136</v>
      </c>
      <c r="G7" s="29">
        <v>38.200000000000003</v>
      </c>
      <c r="H7" s="28" t="s">
        <v>142</v>
      </c>
      <c r="I7" s="29">
        <v>77.149999999999991</v>
      </c>
      <c r="J7" s="28" t="s">
        <v>143</v>
      </c>
      <c r="K7" s="30">
        <v>55.71</v>
      </c>
      <c r="L7" s="28" t="s">
        <v>144</v>
      </c>
      <c r="M7" s="28" t="s">
        <v>145</v>
      </c>
      <c r="N7" s="28" t="s">
        <v>146</v>
      </c>
      <c r="O7" s="31" t="b">
        <v>1</v>
      </c>
      <c r="P7" s="28" t="s">
        <v>140</v>
      </c>
      <c r="Q7" s="37" t="s">
        <v>147</v>
      </c>
    </row>
    <row r="8" spans="1:17" ht="30">
      <c r="A8" s="28" t="s">
        <v>133</v>
      </c>
      <c r="B8" s="28">
        <v>8</v>
      </c>
      <c r="C8" s="28" t="s">
        <v>141</v>
      </c>
      <c r="D8" s="28" t="s">
        <v>135</v>
      </c>
      <c r="E8" s="29">
        <v>1577.1</v>
      </c>
      <c r="F8" s="28" t="s">
        <v>136</v>
      </c>
      <c r="G8" s="29">
        <v>44.6</v>
      </c>
      <c r="H8" s="28" t="s">
        <v>142</v>
      </c>
      <c r="I8" s="29">
        <v>70.75</v>
      </c>
      <c r="J8" s="28" t="s">
        <v>143</v>
      </c>
      <c r="K8" s="30">
        <v>55.731000000000002</v>
      </c>
      <c r="L8" s="28" t="s">
        <v>144</v>
      </c>
      <c r="M8" s="28" t="s">
        <v>145</v>
      </c>
      <c r="N8" s="28" t="s">
        <v>146</v>
      </c>
      <c r="O8" s="31" t="b">
        <v>1</v>
      </c>
      <c r="P8" s="28" t="s">
        <v>140</v>
      </c>
      <c r="Q8" s="37" t="s">
        <v>147</v>
      </c>
    </row>
    <row r="9" spans="1:17" ht="30">
      <c r="A9" s="28" t="s">
        <v>133</v>
      </c>
      <c r="B9" s="28">
        <v>9</v>
      </c>
      <c r="C9" s="28" t="s">
        <v>141</v>
      </c>
      <c r="D9" s="28" t="s">
        <v>135</v>
      </c>
      <c r="E9" s="29">
        <v>1570.7</v>
      </c>
      <c r="F9" s="28" t="s">
        <v>136</v>
      </c>
      <c r="G9" s="29">
        <v>51</v>
      </c>
      <c r="H9" s="28" t="s">
        <v>142</v>
      </c>
      <c r="I9" s="29">
        <v>64.349999999999994</v>
      </c>
      <c r="J9" s="28" t="s">
        <v>143</v>
      </c>
      <c r="K9" s="30">
        <v>55.752000000000002</v>
      </c>
      <c r="L9" s="28" t="s">
        <v>144</v>
      </c>
      <c r="M9" s="28" t="s">
        <v>145</v>
      </c>
      <c r="N9" s="28" t="s">
        <v>146</v>
      </c>
      <c r="O9" s="31" t="b">
        <v>1</v>
      </c>
      <c r="P9" s="28" t="s">
        <v>140</v>
      </c>
      <c r="Q9" s="37" t="s">
        <v>147</v>
      </c>
    </row>
    <row r="10" spans="1:17" ht="30">
      <c r="A10" s="28" t="s">
        <v>133</v>
      </c>
      <c r="B10" s="28">
        <v>10</v>
      </c>
      <c r="C10" s="28" t="s">
        <v>141</v>
      </c>
      <c r="D10" s="28" t="s">
        <v>135</v>
      </c>
      <c r="E10" s="29">
        <v>1563.5</v>
      </c>
      <c r="F10" s="28" t="s">
        <v>136</v>
      </c>
      <c r="G10" s="29">
        <v>58.2</v>
      </c>
      <c r="H10" s="28" t="s">
        <v>142</v>
      </c>
      <c r="I10" s="29">
        <v>57.149999999999991</v>
      </c>
      <c r="J10" s="28" t="s">
        <v>143</v>
      </c>
      <c r="K10" s="30">
        <v>55.773000000000003</v>
      </c>
      <c r="L10" s="28" t="s">
        <v>144</v>
      </c>
      <c r="M10" s="28" t="s">
        <v>145</v>
      </c>
      <c r="N10" s="28" t="s">
        <v>146</v>
      </c>
      <c r="O10" s="31" t="b">
        <v>1</v>
      </c>
      <c r="P10" s="28" t="s">
        <v>140</v>
      </c>
      <c r="Q10" s="37" t="s">
        <v>147</v>
      </c>
    </row>
    <row r="11" spans="1:17" ht="30">
      <c r="A11" s="28" t="s">
        <v>133</v>
      </c>
      <c r="B11" s="28">
        <v>11</v>
      </c>
      <c r="C11" s="28" t="s">
        <v>141</v>
      </c>
      <c r="D11" s="28" t="s">
        <v>135</v>
      </c>
      <c r="E11" s="29">
        <v>1555.85</v>
      </c>
      <c r="F11" s="28" t="s">
        <v>136</v>
      </c>
      <c r="G11" s="29">
        <v>65.849999999999994</v>
      </c>
      <c r="H11" s="28" t="s">
        <v>142</v>
      </c>
      <c r="I11" s="29">
        <v>49.5</v>
      </c>
      <c r="J11" s="28" t="s">
        <v>143</v>
      </c>
      <c r="K11" s="30">
        <v>55.793999999999997</v>
      </c>
      <c r="L11" s="28" t="s">
        <v>144</v>
      </c>
      <c r="M11" s="28" t="s">
        <v>145</v>
      </c>
      <c r="N11" s="28" t="s">
        <v>146</v>
      </c>
      <c r="O11" s="31" t="b">
        <v>1</v>
      </c>
      <c r="P11" s="28" t="s">
        <v>140</v>
      </c>
      <c r="Q11" s="37" t="s">
        <v>147</v>
      </c>
    </row>
    <row r="12" spans="1:17" ht="30">
      <c r="A12" s="28" t="s">
        <v>133</v>
      </c>
      <c r="B12" s="28">
        <v>12</v>
      </c>
      <c r="C12" s="28" t="s">
        <v>141</v>
      </c>
      <c r="D12" s="28" t="s">
        <v>135</v>
      </c>
      <c r="E12" s="29">
        <v>1547.3</v>
      </c>
      <c r="F12" s="28" t="s">
        <v>136</v>
      </c>
      <c r="G12" s="29">
        <v>74.400000000000006</v>
      </c>
      <c r="H12" s="28" t="s">
        <v>142</v>
      </c>
      <c r="I12" s="29">
        <v>40.949999999999989</v>
      </c>
      <c r="J12" s="28" t="s">
        <v>143</v>
      </c>
      <c r="K12" s="30">
        <v>55.814999999999998</v>
      </c>
      <c r="L12" s="28" t="s">
        <v>144</v>
      </c>
      <c r="M12" s="28" t="s">
        <v>145</v>
      </c>
      <c r="N12" s="28" t="s">
        <v>146</v>
      </c>
      <c r="O12" s="31" t="b">
        <v>1</v>
      </c>
      <c r="P12" s="28" t="s">
        <v>140</v>
      </c>
      <c r="Q12" s="37" t="s">
        <v>147</v>
      </c>
    </row>
    <row r="13" spans="1:17" ht="30">
      <c r="A13" s="28" t="s">
        <v>133</v>
      </c>
      <c r="B13" s="28">
        <v>13</v>
      </c>
      <c r="C13" s="28" t="s">
        <v>141</v>
      </c>
      <c r="D13" s="28" t="s">
        <v>135</v>
      </c>
      <c r="E13" s="29">
        <v>1539.1</v>
      </c>
      <c r="F13" s="28" t="s">
        <v>136</v>
      </c>
      <c r="G13" s="29">
        <v>82.6</v>
      </c>
      <c r="H13" s="28" t="s">
        <v>142</v>
      </c>
      <c r="I13" s="29">
        <v>32.75</v>
      </c>
      <c r="J13" s="28" t="s">
        <v>143</v>
      </c>
      <c r="K13" s="30">
        <v>55.835999999999999</v>
      </c>
      <c r="L13" s="28" t="s">
        <v>144</v>
      </c>
      <c r="M13" s="28" t="s">
        <v>145</v>
      </c>
      <c r="N13" s="28" t="s">
        <v>146</v>
      </c>
      <c r="O13" s="31" t="b">
        <v>1</v>
      </c>
      <c r="P13" s="28" t="s">
        <v>140</v>
      </c>
      <c r="Q13" s="37" t="s">
        <v>147</v>
      </c>
    </row>
    <row r="14" spans="1:17" ht="30">
      <c r="A14" s="28" t="s">
        <v>133</v>
      </c>
      <c r="B14" s="28">
        <v>14</v>
      </c>
      <c r="C14" s="28" t="s">
        <v>141</v>
      </c>
      <c r="D14" s="28" t="s">
        <v>135</v>
      </c>
      <c r="E14" s="29">
        <v>1530.6</v>
      </c>
      <c r="F14" s="28" t="s">
        <v>136</v>
      </c>
      <c r="G14" s="29">
        <v>91.1</v>
      </c>
      <c r="H14" s="28" t="s">
        <v>142</v>
      </c>
      <c r="I14" s="29">
        <v>24.25</v>
      </c>
      <c r="J14" s="28" t="s">
        <v>143</v>
      </c>
      <c r="K14" s="30">
        <v>55.856999999999999</v>
      </c>
      <c r="L14" s="28" t="s">
        <v>144</v>
      </c>
      <c r="M14" s="28" t="s">
        <v>145</v>
      </c>
      <c r="N14" s="28" t="s">
        <v>146</v>
      </c>
      <c r="O14" s="31" t="b">
        <v>1</v>
      </c>
      <c r="P14" s="28" t="s">
        <v>140</v>
      </c>
      <c r="Q14" s="37" t="s">
        <v>147</v>
      </c>
    </row>
    <row r="15" spans="1:17" ht="30">
      <c r="A15" s="28" t="s">
        <v>133</v>
      </c>
      <c r="B15" s="28">
        <v>15</v>
      </c>
      <c r="C15" s="28" t="s">
        <v>141</v>
      </c>
      <c r="D15" s="28" t="s">
        <v>135</v>
      </c>
      <c r="E15" s="29">
        <v>1522</v>
      </c>
      <c r="F15" s="28" t="s">
        <v>136</v>
      </c>
      <c r="G15" s="29">
        <v>99.7</v>
      </c>
      <c r="H15" s="28" t="s">
        <v>142</v>
      </c>
      <c r="I15" s="29">
        <v>15.649999999999991</v>
      </c>
      <c r="J15" s="28" t="s">
        <v>143</v>
      </c>
      <c r="K15" s="30">
        <v>55.878</v>
      </c>
      <c r="L15" s="28" t="s">
        <v>144</v>
      </c>
      <c r="M15" s="28" t="s">
        <v>145</v>
      </c>
      <c r="N15" s="28" t="s">
        <v>146</v>
      </c>
      <c r="O15" s="31" t="b">
        <v>1</v>
      </c>
      <c r="P15" s="28" t="s">
        <v>140</v>
      </c>
      <c r="Q15" s="37" t="s">
        <v>147</v>
      </c>
    </row>
    <row r="16" spans="1:17" ht="30">
      <c r="A16" s="28" t="s">
        <v>133</v>
      </c>
      <c r="B16" s="28">
        <v>16</v>
      </c>
      <c r="C16" s="28" t="s">
        <v>141</v>
      </c>
      <c r="D16" s="28" t="s">
        <v>135</v>
      </c>
      <c r="E16" s="29">
        <v>1514.2</v>
      </c>
      <c r="F16" s="28" t="s">
        <v>136</v>
      </c>
      <c r="G16" s="29">
        <v>107.5</v>
      </c>
      <c r="H16" s="28" t="s">
        <v>142</v>
      </c>
      <c r="I16" s="29">
        <v>7.8499999999999943</v>
      </c>
      <c r="J16" s="28" t="s">
        <v>143</v>
      </c>
      <c r="K16" s="30">
        <v>55.899000000000001</v>
      </c>
      <c r="L16" s="28" t="s">
        <v>144</v>
      </c>
      <c r="M16" s="28" t="s">
        <v>145</v>
      </c>
      <c r="N16" s="28" t="s">
        <v>146</v>
      </c>
      <c r="O16" s="31" t="b">
        <v>1</v>
      </c>
      <c r="P16" s="28" t="s">
        <v>140</v>
      </c>
      <c r="Q16" s="37" t="s">
        <v>147</v>
      </c>
    </row>
    <row r="17" spans="1:17" ht="30">
      <c r="A17" s="28" t="s">
        <v>133</v>
      </c>
      <c r="B17" s="28">
        <v>17</v>
      </c>
      <c r="C17" s="28" t="s">
        <v>141</v>
      </c>
      <c r="D17" s="28" t="s">
        <v>135</v>
      </c>
      <c r="E17" s="29">
        <v>1506.35</v>
      </c>
      <c r="F17" s="28" t="s">
        <v>136</v>
      </c>
      <c r="G17" s="29">
        <v>115.35</v>
      </c>
      <c r="H17" s="28" t="s">
        <v>142</v>
      </c>
      <c r="I17" s="29">
        <v>0</v>
      </c>
      <c r="J17" s="28" t="s">
        <v>143</v>
      </c>
      <c r="K17" s="30">
        <v>55.92</v>
      </c>
      <c r="L17" s="28" t="s">
        <v>144</v>
      </c>
      <c r="M17" s="28" t="s">
        <v>145</v>
      </c>
      <c r="N17" s="28" t="s">
        <v>146</v>
      </c>
      <c r="O17" s="31" t="b">
        <v>1</v>
      </c>
      <c r="P17" s="28" t="s">
        <v>140</v>
      </c>
      <c r="Q17" s="37" t="s">
        <v>147</v>
      </c>
    </row>
    <row r="18" spans="1:17" ht="15">
      <c r="A18" s="28" t="s">
        <v>133</v>
      </c>
      <c r="B18" s="28">
        <v>18</v>
      </c>
      <c r="C18" s="28" t="s">
        <v>148</v>
      </c>
      <c r="D18" s="28" t="s">
        <v>135</v>
      </c>
      <c r="E18" s="29">
        <v>1503</v>
      </c>
      <c r="F18" s="28" t="s">
        <v>136</v>
      </c>
      <c r="G18" s="29">
        <v>118.7</v>
      </c>
      <c r="H18" s="28" t="s">
        <v>142</v>
      </c>
      <c r="I18" s="29">
        <v>0</v>
      </c>
      <c r="J18" s="28" t="s">
        <v>143</v>
      </c>
      <c r="K18" s="30">
        <v>55.93</v>
      </c>
      <c r="L18" s="28" t="s">
        <v>144</v>
      </c>
      <c r="M18" s="28" t="s">
        <v>145</v>
      </c>
      <c r="N18" s="28" t="s">
        <v>149</v>
      </c>
      <c r="O18" s="31" t="b">
        <v>1</v>
      </c>
      <c r="P18" s="28" t="s">
        <v>140</v>
      </c>
      <c r="Q18" s="37" t="s">
        <v>8</v>
      </c>
    </row>
    <row r="19" spans="1:17" ht="30">
      <c r="A19" s="28" t="s">
        <v>133</v>
      </c>
      <c r="B19" s="28">
        <v>19</v>
      </c>
      <c r="C19" s="28" t="s">
        <v>141</v>
      </c>
      <c r="D19" s="28" t="s">
        <v>135</v>
      </c>
      <c r="E19" s="29">
        <v>1498.6999999999998</v>
      </c>
      <c r="F19" s="28" t="s">
        <v>136</v>
      </c>
      <c r="G19" s="29">
        <v>123</v>
      </c>
      <c r="H19" s="28" t="s">
        <v>142</v>
      </c>
      <c r="I19" s="29">
        <v>-7.6500000000000057</v>
      </c>
      <c r="J19" s="28" t="s">
        <v>143</v>
      </c>
      <c r="K19" s="30">
        <v>55.94</v>
      </c>
      <c r="L19" s="28" t="s">
        <v>144</v>
      </c>
      <c r="M19" s="28" t="s">
        <v>145</v>
      </c>
      <c r="N19" s="28" t="s">
        <v>146</v>
      </c>
      <c r="O19" s="31" t="b">
        <v>1</v>
      </c>
      <c r="P19" s="28" t="s">
        <v>140</v>
      </c>
      <c r="Q19" s="37" t="s">
        <v>147</v>
      </c>
    </row>
    <row r="20" spans="1:17" ht="30">
      <c r="A20" s="28" t="s">
        <v>133</v>
      </c>
      <c r="B20" s="28">
        <v>20</v>
      </c>
      <c r="C20" s="28" t="s">
        <v>141</v>
      </c>
      <c r="D20" s="28" t="s">
        <v>135</v>
      </c>
      <c r="E20" s="29">
        <v>1491.6999999999998</v>
      </c>
      <c r="F20" s="28" t="s">
        <v>136</v>
      </c>
      <c r="G20" s="29">
        <v>130</v>
      </c>
      <c r="H20" s="28" t="s">
        <v>142</v>
      </c>
      <c r="I20" s="29">
        <v>-14.650000000000006</v>
      </c>
      <c r="J20" s="28" t="s">
        <v>143</v>
      </c>
      <c r="K20" s="30">
        <v>55.960999999999999</v>
      </c>
      <c r="L20" s="28" t="s">
        <v>144</v>
      </c>
      <c r="M20" s="28" t="s">
        <v>145</v>
      </c>
      <c r="N20" s="28" t="s">
        <v>146</v>
      </c>
      <c r="O20" s="31" t="b">
        <v>1</v>
      </c>
      <c r="P20" s="28" t="s">
        <v>140</v>
      </c>
      <c r="Q20" s="37" t="s">
        <v>147</v>
      </c>
    </row>
    <row r="21" spans="1:17" ht="30">
      <c r="A21" s="28" t="s">
        <v>133</v>
      </c>
      <c r="B21" s="28">
        <v>21</v>
      </c>
      <c r="C21" s="28" t="s">
        <v>141</v>
      </c>
      <c r="D21" s="28" t="s">
        <v>135</v>
      </c>
      <c r="E21" s="29">
        <v>1482.3999999999999</v>
      </c>
      <c r="F21" s="28" t="s">
        <v>136</v>
      </c>
      <c r="G21" s="29">
        <v>139.30000000000001</v>
      </c>
      <c r="H21" s="28" t="s">
        <v>142</v>
      </c>
      <c r="I21" s="29">
        <v>-23.950000000000017</v>
      </c>
      <c r="J21" s="28" t="s">
        <v>143</v>
      </c>
      <c r="K21" s="30">
        <v>55.981999999999999</v>
      </c>
      <c r="L21" s="28" t="s">
        <v>144</v>
      </c>
      <c r="M21" s="28" t="s">
        <v>145</v>
      </c>
      <c r="N21" s="28" t="s">
        <v>146</v>
      </c>
      <c r="O21" s="31" t="b">
        <v>1</v>
      </c>
      <c r="P21" s="28" t="s">
        <v>140</v>
      </c>
      <c r="Q21" s="37" t="s">
        <v>147</v>
      </c>
    </row>
    <row r="22" spans="1:17" ht="30">
      <c r="A22" s="28" t="s">
        <v>133</v>
      </c>
      <c r="B22" s="28">
        <v>22</v>
      </c>
      <c r="C22" s="28" t="s">
        <v>141</v>
      </c>
      <c r="D22" s="28" t="s">
        <v>135</v>
      </c>
      <c r="E22" s="29">
        <v>1475.1999999999998</v>
      </c>
      <c r="F22" s="28" t="s">
        <v>136</v>
      </c>
      <c r="G22" s="29">
        <v>146.5</v>
      </c>
      <c r="H22" s="28" t="s">
        <v>142</v>
      </c>
      <c r="I22" s="29">
        <v>-31.150000000000006</v>
      </c>
      <c r="J22" s="28" t="s">
        <v>143</v>
      </c>
      <c r="K22" s="30">
        <v>56.003</v>
      </c>
      <c r="L22" s="28" t="s">
        <v>144</v>
      </c>
      <c r="M22" s="28" t="s">
        <v>145</v>
      </c>
      <c r="N22" s="28" t="s">
        <v>146</v>
      </c>
      <c r="O22" s="31" t="b">
        <v>1</v>
      </c>
      <c r="P22" s="28" t="s">
        <v>140</v>
      </c>
      <c r="Q22" s="37" t="s">
        <v>147</v>
      </c>
    </row>
    <row r="23" spans="1:17" ht="30">
      <c r="A23" s="28" t="s">
        <v>133</v>
      </c>
      <c r="B23" s="28">
        <v>23</v>
      </c>
      <c r="C23" s="28" t="s">
        <v>141</v>
      </c>
      <c r="D23" s="28" t="s">
        <v>135</v>
      </c>
      <c r="E23" s="29">
        <v>1466.7</v>
      </c>
      <c r="F23" s="28" t="s">
        <v>136</v>
      </c>
      <c r="G23" s="29">
        <v>155</v>
      </c>
      <c r="H23" s="28" t="s">
        <v>142</v>
      </c>
      <c r="I23" s="29">
        <v>-39.650000000000006</v>
      </c>
      <c r="J23" s="28" t="s">
        <v>143</v>
      </c>
      <c r="K23" s="30">
        <v>56.024000000000001</v>
      </c>
      <c r="L23" s="28" t="s">
        <v>144</v>
      </c>
      <c r="M23" s="28" t="s">
        <v>145</v>
      </c>
      <c r="N23" s="28" t="s">
        <v>146</v>
      </c>
      <c r="O23" s="31" t="b">
        <v>1</v>
      </c>
      <c r="P23" s="28" t="s">
        <v>140</v>
      </c>
      <c r="Q23" s="37" t="s">
        <v>147</v>
      </c>
    </row>
    <row r="24" spans="1:17" ht="30">
      <c r="A24" s="28" t="s">
        <v>133</v>
      </c>
      <c r="B24" s="28">
        <v>24</v>
      </c>
      <c r="C24" s="28" t="s">
        <v>141</v>
      </c>
      <c r="D24" s="28" t="s">
        <v>135</v>
      </c>
      <c r="E24" s="29">
        <v>1457.7</v>
      </c>
      <c r="F24" s="28" t="s">
        <v>136</v>
      </c>
      <c r="G24" s="29">
        <v>164</v>
      </c>
      <c r="H24" s="28" t="s">
        <v>142</v>
      </c>
      <c r="I24" s="29">
        <v>-48.650000000000006</v>
      </c>
      <c r="J24" s="28" t="s">
        <v>143</v>
      </c>
      <c r="K24" s="30">
        <v>56.045000000000002</v>
      </c>
      <c r="L24" s="28" t="s">
        <v>144</v>
      </c>
      <c r="M24" s="28" t="s">
        <v>145</v>
      </c>
      <c r="N24" s="28" t="s">
        <v>146</v>
      </c>
      <c r="O24" s="31" t="b">
        <v>1</v>
      </c>
      <c r="P24" s="28" t="s">
        <v>140</v>
      </c>
      <c r="Q24" s="37" t="s">
        <v>147</v>
      </c>
    </row>
    <row r="25" spans="1:17" ht="30">
      <c r="A25" s="28" t="s">
        <v>133</v>
      </c>
      <c r="B25" s="28">
        <v>25</v>
      </c>
      <c r="C25" s="28" t="s">
        <v>141</v>
      </c>
      <c r="D25" s="28" t="s">
        <v>135</v>
      </c>
      <c r="E25" s="29">
        <v>1450.5</v>
      </c>
      <c r="F25" s="28" t="s">
        <v>136</v>
      </c>
      <c r="G25" s="29">
        <v>171.2</v>
      </c>
      <c r="H25" s="28" t="s">
        <v>142</v>
      </c>
      <c r="I25" s="29">
        <v>-55.849999999999994</v>
      </c>
      <c r="J25" s="28" t="s">
        <v>143</v>
      </c>
      <c r="K25" s="30">
        <v>56.066000000000003</v>
      </c>
      <c r="L25" s="28" t="s">
        <v>144</v>
      </c>
      <c r="M25" s="28" t="s">
        <v>145</v>
      </c>
      <c r="N25" s="28" t="s">
        <v>146</v>
      </c>
      <c r="O25" s="31" t="b">
        <v>1</v>
      </c>
      <c r="P25" s="28" t="s">
        <v>140</v>
      </c>
      <c r="Q25" s="37" t="s">
        <v>147</v>
      </c>
    </row>
    <row r="26" spans="1:17" ht="30">
      <c r="A26" s="28" t="s">
        <v>133</v>
      </c>
      <c r="B26" s="28">
        <v>26</v>
      </c>
      <c r="C26" s="28" t="s">
        <v>141</v>
      </c>
      <c r="D26" s="28" t="s">
        <v>135</v>
      </c>
      <c r="E26" s="29">
        <v>1440</v>
      </c>
      <c r="F26" s="28" t="s">
        <v>136</v>
      </c>
      <c r="G26" s="29">
        <v>181.7</v>
      </c>
      <c r="H26" s="28" t="s">
        <v>142</v>
      </c>
      <c r="I26" s="29">
        <v>-66.349999999999994</v>
      </c>
      <c r="J26" s="28" t="s">
        <v>143</v>
      </c>
      <c r="K26" s="30">
        <v>56.087000000000003</v>
      </c>
      <c r="L26" s="28" t="s">
        <v>144</v>
      </c>
      <c r="M26" s="28" t="s">
        <v>145</v>
      </c>
      <c r="N26" s="28" t="s">
        <v>146</v>
      </c>
      <c r="O26" s="31" t="b">
        <v>1</v>
      </c>
      <c r="P26" s="28" t="s">
        <v>140</v>
      </c>
      <c r="Q26" s="37" t="s">
        <v>147</v>
      </c>
    </row>
    <row r="27" spans="1:17" ht="30">
      <c r="A27" s="28" t="s">
        <v>133</v>
      </c>
      <c r="B27" s="28">
        <v>27</v>
      </c>
      <c r="C27" s="28" t="s">
        <v>141</v>
      </c>
      <c r="D27" s="28" t="s">
        <v>135</v>
      </c>
      <c r="E27" s="29">
        <v>1432.2</v>
      </c>
      <c r="F27" s="28" t="s">
        <v>136</v>
      </c>
      <c r="G27" s="29">
        <v>189.5</v>
      </c>
      <c r="H27" s="28" t="s">
        <v>142</v>
      </c>
      <c r="I27" s="29">
        <v>-74.150000000000006</v>
      </c>
      <c r="J27" s="28" t="s">
        <v>143</v>
      </c>
      <c r="K27" s="30">
        <v>56.107999999999997</v>
      </c>
      <c r="L27" s="28" t="s">
        <v>144</v>
      </c>
      <c r="M27" s="28" t="s">
        <v>145</v>
      </c>
      <c r="N27" s="28" t="s">
        <v>146</v>
      </c>
      <c r="O27" s="31" t="b">
        <v>1</v>
      </c>
      <c r="P27" s="28" t="s">
        <v>140</v>
      </c>
      <c r="Q27" s="37" t="s">
        <v>147</v>
      </c>
    </row>
    <row r="28" spans="1:17" ht="30">
      <c r="A28" s="28" t="s">
        <v>133</v>
      </c>
      <c r="B28" s="28">
        <v>28</v>
      </c>
      <c r="C28" s="28" t="s">
        <v>141</v>
      </c>
      <c r="D28" s="28" t="s">
        <v>135</v>
      </c>
      <c r="E28" s="29">
        <v>1413</v>
      </c>
      <c r="F28" s="28" t="s">
        <v>136</v>
      </c>
      <c r="G28" s="29">
        <v>208.7</v>
      </c>
      <c r="H28" s="28" t="s">
        <v>142</v>
      </c>
      <c r="I28" s="29">
        <v>-93.35</v>
      </c>
      <c r="J28" s="28" t="s">
        <v>143</v>
      </c>
      <c r="K28" s="30">
        <v>56.170999999999999</v>
      </c>
      <c r="L28" s="28" t="s">
        <v>144</v>
      </c>
      <c r="M28" s="28" t="s">
        <v>145</v>
      </c>
      <c r="N28" s="28" t="s">
        <v>146</v>
      </c>
      <c r="O28" s="31" t="b">
        <v>1</v>
      </c>
      <c r="P28" s="28" t="s">
        <v>140</v>
      </c>
      <c r="Q28" s="37" t="s">
        <v>147</v>
      </c>
    </row>
    <row r="29" spans="1:17" ht="30">
      <c r="A29" s="28" t="s">
        <v>133</v>
      </c>
      <c r="B29" s="28">
        <v>29</v>
      </c>
      <c r="C29" s="28" t="s">
        <v>141</v>
      </c>
      <c r="D29" s="28" t="s">
        <v>135</v>
      </c>
      <c r="E29" s="29">
        <v>1393.1</v>
      </c>
      <c r="F29" s="28" t="s">
        <v>136</v>
      </c>
      <c r="G29" s="29">
        <v>228.6</v>
      </c>
      <c r="H29" s="28" t="s">
        <v>142</v>
      </c>
      <c r="I29" s="29">
        <v>-113.25</v>
      </c>
      <c r="J29" s="28" t="s">
        <v>143</v>
      </c>
      <c r="K29" s="30">
        <v>56.234000000000002</v>
      </c>
      <c r="L29" s="28" t="s">
        <v>144</v>
      </c>
      <c r="M29" s="28" t="s">
        <v>145</v>
      </c>
      <c r="N29" s="28" t="s">
        <v>146</v>
      </c>
      <c r="O29" s="31" t="b">
        <v>1</v>
      </c>
      <c r="P29" s="28" t="s">
        <v>140</v>
      </c>
      <c r="Q29" s="37" t="s">
        <v>147</v>
      </c>
    </row>
    <row r="30" spans="1:17" ht="30">
      <c r="A30" s="28" t="s">
        <v>133</v>
      </c>
      <c r="B30" s="28">
        <v>30</v>
      </c>
      <c r="C30" s="28" t="s">
        <v>141</v>
      </c>
      <c r="D30" s="28" t="s">
        <v>135</v>
      </c>
      <c r="E30" s="29">
        <v>1386</v>
      </c>
      <c r="F30" s="28" t="s">
        <v>136</v>
      </c>
      <c r="G30" s="29">
        <v>235.7</v>
      </c>
      <c r="H30" s="28" t="s">
        <v>142</v>
      </c>
      <c r="I30" s="29">
        <v>-120.35</v>
      </c>
      <c r="J30" s="28" t="s">
        <v>143</v>
      </c>
      <c r="K30" s="30">
        <v>56.255000000000003</v>
      </c>
      <c r="L30" s="28" t="s">
        <v>144</v>
      </c>
      <c r="M30" s="28" t="s">
        <v>145</v>
      </c>
      <c r="N30" s="28" t="s">
        <v>146</v>
      </c>
      <c r="O30" s="31" t="b">
        <v>1</v>
      </c>
      <c r="P30" s="28" t="s">
        <v>140</v>
      </c>
      <c r="Q30" s="37" t="s">
        <v>147</v>
      </c>
    </row>
    <row r="31" spans="1:17" ht="30">
      <c r="A31" s="28" t="s">
        <v>133</v>
      </c>
      <c r="B31" s="28">
        <v>31</v>
      </c>
      <c r="C31" s="28" t="s">
        <v>141</v>
      </c>
      <c r="D31" s="28" t="s">
        <v>135</v>
      </c>
      <c r="E31" s="29">
        <v>1378.2</v>
      </c>
      <c r="F31" s="28" t="s">
        <v>136</v>
      </c>
      <c r="G31" s="29">
        <v>243.5</v>
      </c>
      <c r="H31" s="28" t="s">
        <v>142</v>
      </c>
      <c r="I31" s="29">
        <v>-128.15</v>
      </c>
      <c r="J31" s="28" t="s">
        <v>143</v>
      </c>
      <c r="K31" s="30">
        <v>56.276000000000003</v>
      </c>
      <c r="L31" s="28" t="s">
        <v>144</v>
      </c>
      <c r="M31" s="28" t="s">
        <v>145</v>
      </c>
      <c r="N31" s="28" t="s">
        <v>146</v>
      </c>
      <c r="O31" s="31" t="b">
        <v>1</v>
      </c>
      <c r="P31" s="28" t="s">
        <v>140</v>
      </c>
      <c r="Q31" s="37" t="s">
        <v>147</v>
      </c>
    </row>
    <row r="32" spans="1:17" ht="30">
      <c r="A32" s="28" t="s">
        <v>133</v>
      </c>
      <c r="B32" s="28">
        <v>32</v>
      </c>
      <c r="C32" s="28" t="s">
        <v>141</v>
      </c>
      <c r="D32" s="28" t="s">
        <v>135</v>
      </c>
      <c r="E32" s="29">
        <v>1370.1</v>
      </c>
      <c r="F32" s="28" t="s">
        <v>136</v>
      </c>
      <c r="G32" s="29">
        <v>251.6</v>
      </c>
      <c r="H32" s="28" t="s">
        <v>142</v>
      </c>
      <c r="I32" s="29">
        <v>-136.25</v>
      </c>
      <c r="J32" s="28" t="s">
        <v>143</v>
      </c>
      <c r="K32" s="30">
        <v>56.296999999999997</v>
      </c>
      <c r="L32" s="28" t="s">
        <v>144</v>
      </c>
      <c r="M32" s="28" t="s">
        <v>145</v>
      </c>
      <c r="N32" s="28" t="s">
        <v>146</v>
      </c>
      <c r="O32" s="31" t="b">
        <v>1</v>
      </c>
      <c r="P32" s="28" t="s">
        <v>140</v>
      </c>
      <c r="Q32" s="37" t="s">
        <v>147</v>
      </c>
    </row>
    <row r="33" spans="1:17" ht="15">
      <c r="A33" s="28" t="s">
        <v>133</v>
      </c>
      <c r="B33" s="28">
        <v>33</v>
      </c>
      <c r="C33" s="28" t="s">
        <v>150</v>
      </c>
      <c r="D33" s="28" t="s">
        <v>135</v>
      </c>
      <c r="E33" s="29">
        <v>787</v>
      </c>
      <c r="F33" s="28" t="s">
        <v>136</v>
      </c>
      <c r="G33" s="29"/>
      <c r="H33" s="28"/>
      <c r="I33" s="29"/>
      <c r="J33" s="28"/>
      <c r="K33" s="30">
        <f>'Pg GTS2020 Magnetochrons'!B40</f>
        <v>57.655999999999999</v>
      </c>
      <c r="L33" s="28" t="s">
        <v>151</v>
      </c>
      <c r="M33" s="28" t="s">
        <v>152</v>
      </c>
      <c r="N33" s="28" t="s">
        <v>153</v>
      </c>
      <c r="O33" s="31" t="b">
        <v>1</v>
      </c>
      <c r="P33" s="28" t="s">
        <v>140</v>
      </c>
      <c r="Q33" s="37" t="s">
        <v>12</v>
      </c>
    </row>
    <row r="34" spans="1:17" ht="15">
      <c r="A34" s="28" t="s">
        <v>133</v>
      </c>
      <c r="B34" s="28">
        <v>34</v>
      </c>
      <c r="C34" s="28" t="s">
        <v>154</v>
      </c>
      <c r="D34" s="28" t="s">
        <v>135</v>
      </c>
      <c r="E34" s="29">
        <v>470</v>
      </c>
      <c r="F34" s="28" t="s">
        <v>136</v>
      </c>
      <c r="G34" s="29"/>
      <c r="H34" s="28"/>
      <c r="I34" s="29"/>
      <c r="J34" s="28"/>
      <c r="K34" s="30">
        <f>'Pg GTS2020 Magnetochrons'!B41</f>
        <v>58.959000000000003</v>
      </c>
      <c r="L34" s="28" t="s">
        <v>151</v>
      </c>
      <c r="M34" s="28" t="s">
        <v>152</v>
      </c>
      <c r="N34" s="28" t="s">
        <v>153</v>
      </c>
      <c r="O34" s="31" t="b">
        <v>1</v>
      </c>
      <c r="P34" s="28" t="s">
        <v>140</v>
      </c>
      <c r="Q34" s="37" t="s">
        <v>13</v>
      </c>
    </row>
    <row r="35" spans="1:17" ht="15">
      <c r="A35" s="28" t="s">
        <v>133</v>
      </c>
      <c r="B35" s="28">
        <v>35</v>
      </c>
      <c r="C35" s="28" t="s">
        <v>155</v>
      </c>
      <c r="D35" s="28" t="s">
        <v>135</v>
      </c>
      <c r="E35" s="29">
        <v>370</v>
      </c>
      <c r="F35" s="28" t="s">
        <v>136</v>
      </c>
      <c r="G35" s="29"/>
      <c r="H35" s="28"/>
      <c r="I35" s="29"/>
      <c r="J35" s="28"/>
      <c r="K35" s="30">
        <f>'Pg GTS2020 Magnetochrons'!B42</f>
        <v>59.237000000000002</v>
      </c>
      <c r="L35" s="28" t="s">
        <v>151</v>
      </c>
      <c r="M35" s="28" t="s">
        <v>152</v>
      </c>
      <c r="N35" s="28" t="s">
        <v>153</v>
      </c>
      <c r="O35" s="31" t="b">
        <v>1</v>
      </c>
      <c r="P35" s="28" t="s">
        <v>140</v>
      </c>
      <c r="Q35" s="37" t="s">
        <v>14</v>
      </c>
    </row>
    <row r="36" spans="1:17" ht="30">
      <c r="A36" s="28" t="s">
        <v>133</v>
      </c>
      <c r="B36" s="28">
        <v>36</v>
      </c>
      <c r="C36" s="28" t="s">
        <v>156</v>
      </c>
      <c r="D36" s="28" t="s">
        <v>135</v>
      </c>
      <c r="E36" s="29">
        <v>331</v>
      </c>
      <c r="F36" s="28" t="s">
        <v>136</v>
      </c>
      <c r="G36" s="29"/>
      <c r="H36" s="28"/>
      <c r="I36" s="29"/>
      <c r="J36" s="28"/>
      <c r="K36" s="30">
        <v>59.3</v>
      </c>
      <c r="L36" s="28" t="s">
        <v>152</v>
      </c>
      <c r="M36" s="28" t="s">
        <v>152</v>
      </c>
      <c r="N36" s="28" t="s">
        <v>157</v>
      </c>
      <c r="O36" s="31" t="b">
        <v>1</v>
      </c>
      <c r="P36" s="28" t="s">
        <v>140</v>
      </c>
      <c r="Q36" s="37" t="s">
        <v>158</v>
      </c>
    </row>
    <row r="37" spans="1:17" ht="15">
      <c r="A37" s="32" t="s">
        <v>133</v>
      </c>
      <c r="B37" s="32">
        <v>37</v>
      </c>
      <c r="C37" s="32" t="s">
        <v>159</v>
      </c>
      <c r="D37" s="32" t="s">
        <v>135</v>
      </c>
      <c r="E37" s="33">
        <v>83</v>
      </c>
      <c r="F37" s="32" t="s">
        <v>136</v>
      </c>
      <c r="G37" s="33"/>
      <c r="H37" s="32"/>
      <c r="I37" s="33"/>
      <c r="J37" s="32"/>
      <c r="K37" s="34">
        <f>'Pg GTS2020 Magnetochrons'!B43</f>
        <v>62.277999999999999</v>
      </c>
      <c r="L37" s="32" t="s">
        <v>151</v>
      </c>
      <c r="M37" s="32" t="s">
        <v>152</v>
      </c>
      <c r="N37" s="32" t="s">
        <v>153</v>
      </c>
      <c r="O37" s="35" t="b">
        <v>1</v>
      </c>
      <c r="P37" s="32" t="s">
        <v>140</v>
      </c>
      <c r="Q37" s="3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"/>
  <sheetViews>
    <sheetView showGridLines="0" topLeftCell="M1" zoomScale="150" workbookViewId="0">
      <selection activeCell="P9" sqref="P9"/>
    </sheetView>
  </sheetViews>
  <sheetFormatPr baseColWidth="10" defaultColWidth="8.83203125" defaultRowHeight="14"/>
  <cols>
    <col min="1" max="1" width="21" customWidth="1"/>
    <col min="2" max="2" width="11" customWidth="1"/>
    <col min="3" max="3" width="25" customWidth="1"/>
    <col min="4" max="4" width="17" customWidth="1"/>
    <col min="5" max="5" width="16" customWidth="1"/>
    <col min="6" max="6" width="25" customWidth="1"/>
    <col min="7" max="7" width="21" customWidth="1"/>
    <col min="8" max="8" width="27" customWidth="1"/>
    <col min="9" max="9" width="18" customWidth="1"/>
    <col min="10" max="10" width="27" customWidth="1"/>
    <col min="11" max="11" width="12" customWidth="1"/>
    <col min="12" max="12" width="26" customWidth="1"/>
    <col min="13" max="13" width="37" bestFit="1" customWidth="1"/>
    <col min="14" max="14" width="20" customWidth="1"/>
    <col min="15" max="15" width="16" customWidth="1"/>
    <col min="16" max="16" width="23.5" bestFit="1" customWidth="1"/>
    <col min="17" max="17" width="62" customWidth="1"/>
  </cols>
  <sheetData>
    <row r="1" spans="1:17" ht="34" customHeight="1">
      <c r="A1" s="21" t="s">
        <v>116</v>
      </c>
      <c r="B1" s="22" t="s">
        <v>117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2" t="s">
        <v>123</v>
      </c>
      <c r="I1" s="22" t="s">
        <v>124</v>
      </c>
      <c r="J1" s="22" t="s">
        <v>125</v>
      </c>
      <c r="K1" s="22" t="s">
        <v>126</v>
      </c>
      <c r="L1" s="22" t="s">
        <v>127</v>
      </c>
      <c r="M1" s="22" t="s">
        <v>128</v>
      </c>
      <c r="N1" s="22" t="s">
        <v>129</v>
      </c>
      <c r="O1" s="22" t="s">
        <v>130</v>
      </c>
      <c r="P1" s="22" t="s">
        <v>131</v>
      </c>
      <c r="Q1" s="23" t="s">
        <v>132</v>
      </c>
    </row>
    <row r="2" spans="1:17" ht="15">
      <c r="A2" s="24" t="s">
        <v>160</v>
      </c>
      <c r="B2" s="24">
        <v>2</v>
      </c>
      <c r="C2" s="24" t="s">
        <v>161</v>
      </c>
      <c r="D2" s="24" t="s">
        <v>162</v>
      </c>
      <c r="E2" s="25">
        <v>2515</v>
      </c>
      <c r="F2" s="24" t="s">
        <v>163</v>
      </c>
      <c r="G2" s="25">
        <v>1390</v>
      </c>
      <c r="H2" s="24" t="s">
        <v>164</v>
      </c>
      <c r="I2" s="25"/>
      <c r="J2" s="24"/>
      <c r="K2" s="26">
        <f>'Pg GTS2020 Magnetochrons'!B35</f>
        <v>53.02</v>
      </c>
      <c r="L2" s="24" t="s">
        <v>151</v>
      </c>
      <c r="M2" s="24" t="s">
        <v>165</v>
      </c>
      <c r="N2" s="24" t="s">
        <v>153</v>
      </c>
      <c r="O2" s="27" t="b">
        <v>1</v>
      </c>
      <c r="P2" s="24" t="s">
        <v>140</v>
      </c>
      <c r="Q2" s="36" t="s">
        <v>43</v>
      </c>
    </row>
    <row r="3" spans="1:17" ht="15">
      <c r="A3" s="28" t="s">
        <v>160</v>
      </c>
      <c r="B3" s="28">
        <v>3</v>
      </c>
      <c r="C3" s="28" t="s">
        <v>166</v>
      </c>
      <c r="D3" s="28" t="s">
        <v>162</v>
      </c>
      <c r="E3" s="29">
        <v>2460</v>
      </c>
      <c r="F3" s="28" t="s">
        <v>163</v>
      </c>
      <c r="G3" s="29">
        <v>1340</v>
      </c>
      <c r="H3" s="28" t="s">
        <v>164</v>
      </c>
      <c r="I3" s="29"/>
      <c r="J3" s="28"/>
      <c r="K3" s="30">
        <f>'Pg GTS2020 Magnetochrons'!B36</f>
        <v>53.12</v>
      </c>
      <c r="L3" s="28" t="s">
        <v>151</v>
      </c>
      <c r="M3" s="28" t="s">
        <v>165</v>
      </c>
      <c r="N3" s="28" t="s">
        <v>153</v>
      </c>
      <c r="O3" s="31" t="b">
        <v>1</v>
      </c>
      <c r="P3" s="28" t="s">
        <v>140</v>
      </c>
      <c r="Q3" s="37" t="s">
        <v>43</v>
      </c>
    </row>
    <row r="4" spans="1:17" ht="15">
      <c r="A4" s="28" t="s">
        <v>160</v>
      </c>
      <c r="B4" s="28">
        <v>4</v>
      </c>
      <c r="C4" s="28" t="s">
        <v>167</v>
      </c>
      <c r="D4" s="28" t="s">
        <v>162</v>
      </c>
      <c r="E4" s="29">
        <v>2420</v>
      </c>
      <c r="F4" s="28" t="s">
        <v>163</v>
      </c>
      <c r="G4" s="29">
        <v>1300</v>
      </c>
      <c r="H4" s="28" t="s">
        <v>164</v>
      </c>
      <c r="I4" s="29"/>
      <c r="J4" s="28"/>
      <c r="K4" s="30">
        <f>'Pg GTS2020 Magnetochrons'!B37</f>
        <v>53.25</v>
      </c>
      <c r="L4" s="28" t="s">
        <v>151</v>
      </c>
      <c r="M4" s="28" t="s">
        <v>165</v>
      </c>
      <c r="N4" s="28" t="s">
        <v>153</v>
      </c>
      <c r="O4" s="31" t="b">
        <v>1</v>
      </c>
      <c r="P4" s="28" t="s">
        <v>140</v>
      </c>
      <c r="Q4" s="37" t="s">
        <v>43</v>
      </c>
    </row>
    <row r="5" spans="1:17" ht="15">
      <c r="A5" s="28" t="s">
        <v>160</v>
      </c>
      <c r="B5" s="28">
        <v>5</v>
      </c>
      <c r="C5" s="28" t="s">
        <v>168</v>
      </c>
      <c r="D5" s="28" t="s">
        <v>162</v>
      </c>
      <c r="E5" s="29">
        <v>2100</v>
      </c>
      <c r="F5" s="28" t="s">
        <v>163</v>
      </c>
      <c r="G5" s="29">
        <v>950</v>
      </c>
      <c r="H5" s="28" t="s">
        <v>164</v>
      </c>
      <c r="I5" s="29"/>
      <c r="J5" s="28"/>
      <c r="K5" s="30">
        <f>'Pg GTS2020 Magnetochrons'!B38</f>
        <v>53.9</v>
      </c>
      <c r="L5" s="28" t="s">
        <v>151</v>
      </c>
      <c r="M5" s="28" t="s">
        <v>165</v>
      </c>
      <c r="N5" s="28" t="s">
        <v>153</v>
      </c>
      <c r="O5" s="31" t="b">
        <v>1</v>
      </c>
      <c r="P5" s="28" t="s">
        <v>140</v>
      </c>
      <c r="Q5" s="37" t="s">
        <v>43</v>
      </c>
    </row>
    <row r="6" spans="1:17" ht="15">
      <c r="A6" s="32" t="s">
        <v>160</v>
      </c>
      <c r="B6" s="32">
        <v>6</v>
      </c>
      <c r="C6" s="32" t="s">
        <v>169</v>
      </c>
      <c r="D6" s="32" t="s">
        <v>162</v>
      </c>
      <c r="E6" s="33">
        <v>1195</v>
      </c>
      <c r="F6" s="32" t="s">
        <v>163</v>
      </c>
      <c r="G6" s="33">
        <v>0</v>
      </c>
      <c r="H6" s="32" t="s">
        <v>164</v>
      </c>
      <c r="I6" s="33"/>
      <c r="J6" s="32"/>
      <c r="K6" s="34">
        <v>55.9</v>
      </c>
      <c r="L6" s="32" t="s">
        <v>170</v>
      </c>
      <c r="M6" s="32" t="s">
        <v>165</v>
      </c>
      <c r="N6" s="32" t="s">
        <v>149</v>
      </c>
      <c r="O6" s="35" t="b">
        <v>1</v>
      </c>
      <c r="P6" s="32" t="s">
        <v>140</v>
      </c>
      <c r="Q6" s="38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"/>
  <sheetViews>
    <sheetView showGridLines="0" tabSelected="1" zoomScale="200" workbookViewId="0">
      <selection activeCell="E4" sqref="E4"/>
    </sheetView>
  </sheetViews>
  <sheetFormatPr baseColWidth="10" defaultColWidth="8.83203125" defaultRowHeight="14"/>
  <cols>
    <col min="1" max="1" width="21" customWidth="1"/>
    <col min="2" max="2" width="11" customWidth="1"/>
    <col min="3" max="3" width="12" customWidth="1"/>
    <col min="4" max="4" width="5.33203125" customWidth="1"/>
    <col min="5" max="5" width="16" customWidth="1"/>
    <col min="6" max="6" width="47.5" bestFit="1" customWidth="1"/>
    <col min="7" max="7" width="21" customWidth="1"/>
    <col min="8" max="8" width="27" customWidth="1"/>
    <col min="9" max="9" width="18" customWidth="1"/>
    <col min="10" max="10" width="27" customWidth="1"/>
    <col min="11" max="11" width="12" customWidth="1"/>
    <col min="12" max="13" width="26" customWidth="1"/>
    <col min="14" max="14" width="20" customWidth="1"/>
    <col min="15" max="15" width="16" customWidth="1"/>
    <col min="16" max="16" width="32.33203125" bestFit="1" customWidth="1"/>
    <col min="17" max="17" width="62" customWidth="1"/>
  </cols>
  <sheetData>
    <row r="1" spans="1:17" ht="34" customHeight="1">
      <c r="A1" s="21" t="s">
        <v>116</v>
      </c>
      <c r="B1" s="22" t="s">
        <v>117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2" t="s">
        <v>123</v>
      </c>
      <c r="I1" s="22" t="s">
        <v>124</v>
      </c>
      <c r="J1" s="22" t="s">
        <v>125</v>
      </c>
      <c r="K1" s="22" t="s">
        <v>126</v>
      </c>
      <c r="L1" s="22" t="s">
        <v>127</v>
      </c>
      <c r="M1" s="22" t="s">
        <v>128</v>
      </c>
      <c r="N1" s="22" t="s">
        <v>129</v>
      </c>
      <c r="O1" s="22" t="s">
        <v>130</v>
      </c>
      <c r="P1" s="22" t="s">
        <v>131</v>
      </c>
      <c r="Q1" s="23" t="s">
        <v>132</v>
      </c>
    </row>
    <row r="2" spans="1:17" ht="30">
      <c r="A2" s="24" t="s">
        <v>171</v>
      </c>
      <c r="B2" s="24">
        <v>2</v>
      </c>
      <c r="C2" s="24" t="s">
        <v>161</v>
      </c>
      <c r="D2" s="24" t="s">
        <v>172</v>
      </c>
      <c r="E2" s="25"/>
      <c r="F2" s="24" t="s">
        <v>173</v>
      </c>
      <c r="G2" s="25"/>
      <c r="H2" s="24" t="s">
        <v>174</v>
      </c>
      <c r="I2" s="25"/>
      <c r="J2" s="24"/>
      <c r="K2" s="26">
        <f>'Pg GTS2020 Magnetochrons'!B35</f>
        <v>53.02</v>
      </c>
      <c r="L2" s="24" t="s">
        <v>151</v>
      </c>
      <c r="M2" s="24" t="s">
        <v>175</v>
      </c>
      <c r="N2" s="24" t="s">
        <v>153</v>
      </c>
      <c r="O2" s="27" t="b">
        <v>0</v>
      </c>
      <c r="P2" s="24" t="s">
        <v>176</v>
      </c>
      <c r="Q2" s="36" t="s">
        <v>177</v>
      </c>
    </row>
    <row r="3" spans="1:17" ht="15">
      <c r="A3" s="28" t="s">
        <v>171</v>
      </c>
      <c r="B3" s="28">
        <v>3</v>
      </c>
      <c r="C3" s="28" t="s">
        <v>166</v>
      </c>
      <c r="D3" s="28" t="s">
        <v>172</v>
      </c>
      <c r="E3" s="29"/>
      <c r="F3" s="28" t="s">
        <v>173</v>
      </c>
      <c r="G3" s="29"/>
      <c r="H3" s="28" t="s">
        <v>174</v>
      </c>
      <c r="I3" s="29"/>
      <c r="J3" s="28"/>
      <c r="K3" s="30">
        <f>'Pg GTS2020 Magnetochrons'!B36</f>
        <v>53.12</v>
      </c>
      <c r="L3" s="28" t="s">
        <v>151</v>
      </c>
      <c r="M3" s="28" t="s">
        <v>175</v>
      </c>
      <c r="N3" s="28" t="s">
        <v>153</v>
      </c>
      <c r="O3" s="31" t="b">
        <v>0</v>
      </c>
      <c r="P3" s="28" t="s">
        <v>176</v>
      </c>
      <c r="Q3" s="37" t="s">
        <v>53</v>
      </c>
    </row>
    <row r="4" spans="1:17" ht="15">
      <c r="A4" s="28" t="s">
        <v>171</v>
      </c>
      <c r="B4" s="28">
        <v>4</v>
      </c>
      <c r="C4" s="28" t="s">
        <v>168</v>
      </c>
      <c r="D4" s="28" t="s">
        <v>172</v>
      </c>
      <c r="E4" s="29"/>
      <c r="F4" s="28" t="s">
        <v>173</v>
      </c>
      <c r="G4" s="29"/>
      <c r="H4" s="28" t="s">
        <v>174</v>
      </c>
      <c r="I4" s="29"/>
      <c r="J4" s="28"/>
      <c r="K4" s="30">
        <f>'Pg GTS2020 Magnetochrons'!B38</f>
        <v>53.9</v>
      </c>
      <c r="L4" s="28" t="s">
        <v>151</v>
      </c>
      <c r="M4" s="28" t="s">
        <v>175</v>
      </c>
      <c r="N4" s="28" t="s">
        <v>153</v>
      </c>
      <c r="O4" s="31" t="b">
        <v>0</v>
      </c>
      <c r="P4" s="28" t="s">
        <v>176</v>
      </c>
      <c r="Q4" s="37" t="s">
        <v>53</v>
      </c>
    </row>
    <row r="5" spans="1:17" ht="15">
      <c r="A5" s="28" t="s">
        <v>171</v>
      </c>
      <c r="B5" s="28">
        <v>5</v>
      </c>
      <c r="C5" s="28" t="s">
        <v>169</v>
      </c>
      <c r="D5" s="28" t="s">
        <v>172</v>
      </c>
      <c r="E5" s="29">
        <v>0</v>
      </c>
      <c r="F5" s="28" t="s">
        <v>173</v>
      </c>
      <c r="G5" s="29"/>
      <c r="H5" s="28" t="s">
        <v>174</v>
      </c>
      <c r="I5" s="29"/>
      <c r="J5" s="28"/>
      <c r="K5" s="30">
        <v>55.9</v>
      </c>
      <c r="L5" s="28" t="s">
        <v>170</v>
      </c>
      <c r="M5" s="28" t="s">
        <v>175</v>
      </c>
      <c r="N5" s="28" t="s">
        <v>149</v>
      </c>
      <c r="O5" s="31" t="b">
        <v>0</v>
      </c>
      <c r="P5" s="28" t="s">
        <v>176</v>
      </c>
      <c r="Q5" s="37" t="s">
        <v>48</v>
      </c>
    </row>
    <row r="6" spans="1:17" ht="15">
      <c r="A6" s="28" t="s">
        <v>171</v>
      </c>
      <c r="B6" s="28">
        <v>6</v>
      </c>
      <c r="C6" s="28" t="s">
        <v>178</v>
      </c>
      <c r="D6" s="28" t="s">
        <v>172</v>
      </c>
      <c r="E6" s="29"/>
      <c r="F6" s="28" t="s">
        <v>173</v>
      </c>
      <c r="G6" s="29"/>
      <c r="H6" s="28" t="s">
        <v>174</v>
      </c>
      <c r="I6" s="29"/>
      <c r="J6" s="28"/>
      <c r="K6" s="30">
        <f>'Pg GTS2020 Magnetochrons'!B39</f>
        <v>57.100999999999999</v>
      </c>
      <c r="L6" s="28" t="s">
        <v>151</v>
      </c>
      <c r="M6" s="28" t="s">
        <v>175</v>
      </c>
      <c r="N6" s="28" t="s">
        <v>153</v>
      </c>
      <c r="O6" s="31" t="b">
        <v>0</v>
      </c>
      <c r="P6" s="28" t="s">
        <v>176</v>
      </c>
      <c r="Q6" s="37" t="s">
        <v>53</v>
      </c>
    </row>
    <row r="7" spans="1:17" ht="15">
      <c r="A7" s="28" t="s">
        <v>171</v>
      </c>
      <c r="B7" s="28">
        <v>7</v>
      </c>
      <c r="C7" s="28" t="s">
        <v>150</v>
      </c>
      <c r="D7" s="28" t="s">
        <v>172</v>
      </c>
      <c r="E7" s="29"/>
      <c r="F7" s="28" t="s">
        <v>173</v>
      </c>
      <c r="G7" s="29"/>
      <c r="H7" s="28" t="s">
        <v>174</v>
      </c>
      <c r="I7" s="29"/>
      <c r="J7" s="28"/>
      <c r="K7" s="30">
        <f>'Pg GTS2020 Magnetochrons'!B40</f>
        <v>57.655999999999999</v>
      </c>
      <c r="L7" s="28" t="s">
        <v>151</v>
      </c>
      <c r="M7" s="28" t="s">
        <v>175</v>
      </c>
      <c r="N7" s="28" t="s">
        <v>153</v>
      </c>
      <c r="O7" s="31" t="b">
        <v>0</v>
      </c>
      <c r="P7" s="28" t="s">
        <v>176</v>
      </c>
      <c r="Q7" s="37" t="s">
        <v>53</v>
      </c>
    </row>
    <row r="8" spans="1:17" ht="15">
      <c r="A8" s="32" t="s">
        <v>171</v>
      </c>
      <c r="B8" s="32">
        <v>8</v>
      </c>
      <c r="C8" s="32" t="s">
        <v>159</v>
      </c>
      <c r="D8" s="32" t="s">
        <v>172</v>
      </c>
      <c r="E8" s="33"/>
      <c r="F8" s="32" t="s">
        <v>173</v>
      </c>
      <c r="G8" s="33"/>
      <c r="H8" s="32" t="s">
        <v>174</v>
      </c>
      <c r="I8" s="33"/>
      <c r="J8" s="32"/>
      <c r="K8" s="34">
        <f>'Pg GTS2020 Magnetochrons'!B43</f>
        <v>62.277999999999999</v>
      </c>
      <c r="L8" s="32" t="s">
        <v>151</v>
      </c>
      <c r="M8" s="32" t="s">
        <v>175</v>
      </c>
      <c r="N8" s="32" t="s">
        <v>153</v>
      </c>
      <c r="O8" s="35" t="b">
        <v>0</v>
      </c>
      <c r="P8" s="32" t="s">
        <v>176</v>
      </c>
      <c r="Q8" s="38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showGridLines="0" workbookViewId="0"/>
  </sheetViews>
  <sheetFormatPr baseColWidth="10" defaultColWidth="8.83203125" defaultRowHeight="14"/>
  <cols>
    <col min="1" max="1" width="23" customWidth="1"/>
    <col min="2" max="2" width="11" customWidth="1"/>
    <col min="3" max="3" width="22" customWidth="1"/>
    <col min="4" max="4" width="12" customWidth="1"/>
    <col min="5" max="5" width="55" customWidth="1"/>
    <col min="6" max="6" width="14" customWidth="1"/>
  </cols>
  <sheetData>
    <row r="1" spans="1:6" ht="15">
      <c r="A1" s="39" t="s">
        <v>116</v>
      </c>
      <c r="B1" s="39" t="s">
        <v>117</v>
      </c>
      <c r="C1" s="39" t="s">
        <v>179</v>
      </c>
      <c r="D1" s="39" t="s">
        <v>126</v>
      </c>
      <c r="E1" s="39" t="s">
        <v>180</v>
      </c>
      <c r="F1" s="39" t="s">
        <v>181</v>
      </c>
    </row>
    <row r="2" spans="1:6" ht="15">
      <c r="A2" s="20" t="s">
        <v>182</v>
      </c>
      <c r="B2" s="20">
        <v>2</v>
      </c>
      <c r="C2" s="20" t="s">
        <v>60</v>
      </c>
      <c r="D2" s="40">
        <v>30.977</v>
      </c>
      <c r="E2" s="41" t="s">
        <v>61</v>
      </c>
      <c r="F2" s="20" t="s">
        <v>183</v>
      </c>
    </row>
    <row r="3" spans="1:6" ht="15">
      <c r="A3" s="20" t="s">
        <v>182</v>
      </c>
      <c r="B3" s="20">
        <v>3</v>
      </c>
      <c r="C3" s="20" t="s">
        <v>62</v>
      </c>
      <c r="D3" s="40">
        <v>33.213999999999999</v>
      </c>
      <c r="E3" s="41" t="s">
        <v>63</v>
      </c>
      <c r="F3" s="20" t="s">
        <v>183</v>
      </c>
    </row>
    <row r="4" spans="1:6" ht="15">
      <c r="A4" s="20" t="s">
        <v>182</v>
      </c>
      <c r="B4" s="20">
        <v>4</v>
      </c>
      <c r="C4" s="20" t="s">
        <v>64</v>
      </c>
      <c r="D4" s="40">
        <v>33.725999999999999</v>
      </c>
      <c r="E4" s="41" t="s">
        <v>63</v>
      </c>
      <c r="F4" s="20" t="s">
        <v>183</v>
      </c>
    </row>
    <row r="5" spans="1:6" ht="15">
      <c r="A5" s="20" t="s">
        <v>182</v>
      </c>
      <c r="B5" s="20">
        <v>5</v>
      </c>
      <c r="C5" s="20" t="s">
        <v>65</v>
      </c>
      <c r="D5" s="40">
        <v>35.101999999999997</v>
      </c>
      <c r="E5" s="41" t="s">
        <v>66</v>
      </c>
      <c r="F5" s="20" t="s">
        <v>183</v>
      </c>
    </row>
    <row r="6" spans="1:6" ht="15">
      <c r="A6" s="20" t="s">
        <v>182</v>
      </c>
      <c r="B6" s="20">
        <v>6</v>
      </c>
      <c r="C6" s="20" t="s">
        <v>67</v>
      </c>
      <c r="D6" s="40">
        <v>35.335999999999999</v>
      </c>
      <c r="E6" s="41" t="s">
        <v>63</v>
      </c>
      <c r="F6" s="20" t="s">
        <v>183</v>
      </c>
    </row>
    <row r="7" spans="1:6" ht="15">
      <c r="A7" s="20" t="s">
        <v>182</v>
      </c>
      <c r="B7" s="20">
        <v>7</v>
      </c>
      <c r="C7" s="20" t="s">
        <v>68</v>
      </c>
      <c r="D7" s="40">
        <v>35.58</v>
      </c>
      <c r="E7" s="41" t="s">
        <v>63</v>
      </c>
      <c r="F7" s="20" t="s">
        <v>183</v>
      </c>
    </row>
    <row r="8" spans="1:6" ht="15">
      <c r="A8" s="20" t="s">
        <v>182</v>
      </c>
      <c r="B8" s="20">
        <v>8</v>
      </c>
      <c r="C8" s="20" t="s">
        <v>69</v>
      </c>
      <c r="D8" s="40">
        <v>35.718000000000004</v>
      </c>
      <c r="E8" s="41" t="s">
        <v>63</v>
      </c>
      <c r="F8" s="20" t="s">
        <v>183</v>
      </c>
    </row>
    <row r="9" spans="1:6" ht="15">
      <c r="A9" s="20" t="s">
        <v>182</v>
      </c>
      <c r="B9" s="20">
        <v>9</v>
      </c>
      <c r="C9" s="20" t="s">
        <v>70</v>
      </c>
      <c r="D9" s="40">
        <v>35.774000000000001</v>
      </c>
      <c r="E9" s="41" t="s">
        <v>63</v>
      </c>
      <c r="F9" s="20" t="s">
        <v>183</v>
      </c>
    </row>
    <row r="10" spans="1:6" ht="15">
      <c r="A10" s="20" t="s">
        <v>182</v>
      </c>
      <c r="B10" s="20">
        <v>10</v>
      </c>
      <c r="C10" s="20" t="s">
        <v>71</v>
      </c>
      <c r="D10" s="40">
        <v>36.350999999999999</v>
      </c>
      <c r="E10" s="41" t="s">
        <v>63</v>
      </c>
      <c r="F10" s="20" t="s">
        <v>183</v>
      </c>
    </row>
    <row r="11" spans="1:6" ht="15">
      <c r="A11" s="20" t="s">
        <v>182</v>
      </c>
      <c r="B11" s="20">
        <v>11</v>
      </c>
      <c r="C11" s="20" t="s">
        <v>72</v>
      </c>
      <c r="D11" s="40">
        <v>36.573</v>
      </c>
      <c r="E11" s="41" t="s">
        <v>63</v>
      </c>
      <c r="F11" s="20" t="s">
        <v>183</v>
      </c>
    </row>
    <row r="12" spans="1:6" ht="15">
      <c r="A12" s="20" t="s">
        <v>182</v>
      </c>
      <c r="B12" s="20">
        <v>12</v>
      </c>
      <c r="C12" s="20" t="s">
        <v>73</v>
      </c>
      <c r="D12" s="40">
        <v>37.384999999999998</v>
      </c>
      <c r="E12" s="41" t="s">
        <v>63</v>
      </c>
      <c r="F12" s="20" t="s">
        <v>183</v>
      </c>
    </row>
    <row r="13" spans="1:6" ht="15">
      <c r="A13" s="20" t="s">
        <v>182</v>
      </c>
      <c r="B13" s="20">
        <v>13</v>
      </c>
      <c r="C13" s="20" t="s">
        <v>74</v>
      </c>
      <c r="D13" s="40">
        <v>37.53</v>
      </c>
      <c r="E13" s="41" t="s">
        <v>63</v>
      </c>
      <c r="F13" s="20" t="s">
        <v>183</v>
      </c>
    </row>
    <row r="14" spans="1:6" ht="15">
      <c r="A14" s="20" t="s">
        <v>182</v>
      </c>
      <c r="B14" s="20">
        <v>14</v>
      </c>
      <c r="C14" s="20" t="s">
        <v>75</v>
      </c>
      <c r="D14" s="40">
        <v>37.780999999999999</v>
      </c>
      <c r="E14" s="41" t="s">
        <v>63</v>
      </c>
      <c r="F14" s="20" t="s">
        <v>183</v>
      </c>
    </row>
    <row r="15" spans="1:6" ht="15">
      <c r="A15" s="20" t="s">
        <v>182</v>
      </c>
      <c r="B15" s="20">
        <v>15</v>
      </c>
      <c r="C15" s="20" t="s">
        <v>76</v>
      </c>
      <c r="D15" s="40">
        <v>37.857999999999997</v>
      </c>
      <c r="E15" s="41" t="s">
        <v>63</v>
      </c>
      <c r="F15" s="20" t="s">
        <v>183</v>
      </c>
    </row>
    <row r="16" spans="1:6" ht="15">
      <c r="A16" s="20" t="s">
        <v>182</v>
      </c>
      <c r="B16" s="20">
        <v>16</v>
      </c>
      <c r="C16" s="20" t="s">
        <v>77</v>
      </c>
      <c r="D16" s="40">
        <v>38.081000000000003</v>
      </c>
      <c r="E16" s="41" t="s">
        <v>63</v>
      </c>
      <c r="F16" s="20" t="s">
        <v>183</v>
      </c>
    </row>
    <row r="17" spans="1:6" ht="15">
      <c r="A17" s="20" t="s">
        <v>182</v>
      </c>
      <c r="B17" s="20">
        <v>17</v>
      </c>
      <c r="C17" s="20" t="s">
        <v>78</v>
      </c>
      <c r="D17" s="40">
        <v>38.398000000000003</v>
      </c>
      <c r="E17" s="41" t="s">
        <v>63</v>
      </c>
      <c r="F17" s="20" t="s">
        <v>183</v>
      </c>
    </row>
    <row r="18" spans="1:6" ht="15">
      <c r="A18" s="20" t="s">
        <v>182</v>
      </c>
      <c r="B18" s="20">
        <v>18</v>
      </c>
      <c r="C18" s="20" t="s">
        <v>79</v>
      </c>
      <c r="D18" s="40">
        <v>39.582000000000001</v>
      </c>
      <c r="E18" s="41" t="s">
        <v>63</v>
      </c>
      <c r="F18" s="20" t="s">
        <v>183</v>
      </c>
    </row>
    <row r="19" spans="1:6" ht="15">
      <c r="A19" s="20" t="s">
        <v>182</v>
      </c>
      <c r="B19" s="20">
        <v>19</v>
      </c>
      <c r="C19" s="20" t="s">
        <v>80</v>
      </c>
      <c r="D19" s="40">
        <v>39.665999999999997</v>
      </c>
      <c r="E19" s="41" t="s">
        <v>63</v>
      </c>
      <c r="F19" s="20" t="s">
        <v>183</v>
      </c>
    </row>
    <row r="20" spans="1:6" ht="15">
      <c r="A20" s="20" t="s">
        <v>182</v>
      </c>
      <c r="B20" s="20">
        <v>20</v>
      </c>
      <c r="C20" s="20" t="s">
        <v>81</v>
      </c>
      <c r="D20" s="40">
        <v>40.073</v>
      </c>
      <c r="E20" s="41" t="s">
        <v>63</v>
      </c>
      <c r="F20" s="20" t="s">
        <v>183</v>
      </c>
    </row>
    <row r="21" spans="1:6" ht="15">
      <c r="A21" s="20" t="s">
        <v>182</v>
      </c>
      <c r="B21" s="20">
        <v>21</v>
      </c>
      <c r="C21" s="20" t="s">
        <v>82</v>
      </c>
      <c r="D21" s="40">
        <v>41.03</v>
      </c>
      <c r="E21" s="41" t="s">
        <v>63</v>
      </c>
      <c r="F21" s="20" t="s">
        <v>183</v>
      </c>
    </row>
    <row r="22" spans="1:6" ht="15">
      <c r="A22" s="20" t="s">
        <v>182</v>
      </c>
      <c r="B22" s="20">
        <v>22</v>
      </c>
      <c r="C22" s="20" t="s">
        <v>83</v>
      </c>
      <c r="D22" s="40">
        <v>41.18</v>
      </c>
      <c r="E22" s="41" t="s">
        <v>63</v>
      </c>
      <c r="F22" s="20" t="s">
        <v>183</v>
      </c>
    </row>
    <row r="23" spans="1:6" ht="15">
      <c r="A23" s="20" t="s">
        <v>182</v>
      </c>
      <c r="B23" s="20">
        <v>23</v>
      </c>
      <c r="C23" s="20" t="s">
        <v>84</v>
      </c>
      <c r="D23" s="40">
        <v>42.195999999999998</v>
      </c>
      <c r="E23" s="41" t="s">
        <v>85</v>
      </c>
      <c r="F23" s="20" t="s">
        <v>183</v>
      </c>
    </row>
    <row r="24" spans="1:6" ht="15">
      <c r="A24" s="20" t="s">
        <v>182</v>
      </c>
      <c r="B24" s="20">
        <v>24</v>
      </c>
      <c r="C24" s="20" t="s">
        <v>86</v>
      </c>
      <c r="D24" s="40">
        <v>43.45</v>
      </c>
      <c r="E24" s="41" t="s">
        <v>87</v>
      </c>
      <c r="F24" s="20" t="s">
        <v>183</v>
      </c>
    </row>
    <row r="25" spans="1:6" ht="15">
      <c r="A25" s="20" t="s">
        <v>182</v>
      </c>
      <c r="B25" s="20">
        <v>25</v>
      </c>
      <c r="C25" s="20" t="s">
        <v>88</v>
      </c>
      <c r="D25" s="40">
        <v>46.234999999999999</v>
      </c>
      <c r="E25" s="41" t="s">
        <v>85</v>
      </c>
      <c r="F25" s="20" t="s">
        <v>183</v>
      </c>
    </row>
    <row r="26" spans="1:6" ht="15">
      <c r="A26" s="20" t="s">
        <v>182</v>
      </c>
      <c r="B26" s="20">
        <v>26</v>
      </c>
      <c r="C26" s="20" t="s">
        <v>89</v>
      </c>
      <c r="D26" s="40">
        <v>47.76</v>
      </c>
      <c r="E26" s="41" t="s">
        <v>90</v>
      </c>
      <c r="F26" s="20" t="s">
        <v>183</v>
      </c>
    </row>
    <row r="27" spans="1:6" ht="15">
      <c r="A27" s="20" t="s">
        <v>182</v>
      </c>
      <c r="B27" s="20">
        <v>27</v>
      </c>
      <c r="C27" s="20" t="s">
        <v>91</v>
      </c>
      <c r="D27" s="40">
        <v>48.878</v>
      </c>
      <c r="E27" s="41" t="s">
        <v>63</v>
      </c>
      <c r="F27" s="20" t="s">
        <v>183</v>
      </c>
    </row>
    <row r="28" spans="1:6" ht="15">
      <c r="A28" s="20" t="s">
        <v>182</v>
      </c>
      <c r="B28" s="20">
        <v>28</v>
      </c>
      <c r="C28" s="20" t="s">
        <v>92</v>
      </c>
      <c r="D28" s="40">
        <v>49.665999999999997</v>
      </c>
      <c r="E28" s="41" t="s">
        <v>63</v>
      </c>
      <c r="F28" s="20" t="s">
        <v>183</v>
      </c>
    </row>
    <row r="29" spans="1:6" ht="15">
      <c r="A29" s="20" t="s">
        <v>182</v>
      </c>
      <c r="B29" s="20">
        <v>29</v>
      </c>
      <c r="C29" s="20" t="s">
        <v>93</v>
      </c>
      <c r="D29" s="40">
        <v>50.767000000000003</v>
      </c>
      <c r="E29" s="41" t="s">
        <v>63</v>
      </c>
      <c r="F29" s="20" t="s">
        <v>183</v>
      </c>
    </row>
    <row r="30" spans="1:6" ht="15">
      <c r="A30" s="20" t="s">
        <v>182</v>
      </c>
      <c r="B30" s="20">
        <v>30</v>
      </c>
      <c r="C30" s="20" t="s">
        <v>94</v>
      </c>
      <c r="D30" s="40">
        <v>50.996000000000002</v>
      </c>
      <c r="E30" s="41" t="s">
        <v>63</v>
      </c>
      <c r="F30" s="20" t="s">
        <v>183</v>
      </c>
    </row>
    <row r="31" spans="1:6" ht="15">
      <c r="A31" s="20" t="s">
        <v>182</v>
      </c>
      <c r="B31" s="20">
        <v>31</v>
      </c>
      <c r="C31" s="20" t="s">
        <v>95</v>
      </c>
      <c r="D31" s="40">
        <v>51.046999999999997</v>
      </c>
      <c r="E31" s="41" t="s">
        <v>63</v>
      </c>
      <c r="F31" s="20" t="s">
        <v>183</v>
      </c>
    </row>
    <row r="32" spans="1:6" ht="15">
      <c r="A32" s="20" t="s">
        <v>182</v>
      </c>
      <c r="B32" s="20">
        <v>32</v>
      </c>
      <c r="C32" s="20" t="s">
        <v>96</v>
      </c>
      <c r="D32" s="40">
        <v>51.723999999999997</v>
      </c>
      <c r="E32" s="41" t="s">
        <v>63</v>
      </c>
      <c r="F32" s="20" t="s">
        <v>183</v>
      </c>
    </row>
    <row r="33" spans="1:6" ht="15">
      <c r="A33" s="20" t="s">
        <v>182</v>
      </c>
      <c r="B33" s="20">
        <v>33</v>
      </c>
      <c r="C33" s="20" t="s">
        <v>97</v>
      </c>
      <c r="D33" s="40">
        <v>52.54</v>
      </c>
      <c r="E33" s="41" t="s">
        <v>63</v>
      </c>
      <c r="F33" s="20" t="s">
        <v>183</v>
      </c>
    </row>
    <row r="34" spans="1:6" ht="15">
      <c r="A34" s="20" t="s">
        <v>182</v>
      </c>
      <c r="B34" s="20">
        <v>34</v>
      </c>
      <c r="C34" s="20" t="s">
        <v>98</v>
      </c>
      <c r="D34" s="40">
        <v>52.93</v>
      </c>
      <c r="E34" s="41" t="s">
        <v>63</v>
      </c>
      <c r="F34" s="20" t="s">
        <v>183</v>
      </c>
    </row>
    <row r="35" spans="1:6" ht="15">
      <c r="A35" s="20" t="s">
        <v>182</v>
      </c>
      <c r="B35" s="20">
        <v>35</v>
      </c>
      <c r="C35" s="20" t="s">
        <v>99</v>
      </c>
      <c r="D35" s="40">
        <v>53.02</v>
      </c>
      <c r="E35" s="41" t="s">
        <v>63</v>
      </c>
      <c r="F35" s="20" t="s">
        <v>183</v>
      </c>
    </row>
    <row r="36" spans="1:6" ht="15">
      <c r="A36" s="20" t="s">
        <v>182</v>
      </c>
      <c r="B36" s="20">
        <v>36</v>
      </c>
      <c r="C36" s="20" t="s">
        <v>100</v>
      </c>
      <c r="D36" s="40">
        <v>53.12</v>
      </c>
      <c r="E36" s="41" t="s">
        <v>63</v>
      </c>
      <c r="F36" s="20" t="s">
        <v>183</v>
      </c>
    </row>
    <row r="37" spans="1:6" ht="15">
      <c r="A37" s="20" t="s">
        <v>182</v>
      </c>
      <c r="B37" s="20">
        <v>37</v>
      </c>
      <c r="C37" s="20" t="s">
        <v>101</v>
      </c>
      <c r="D37" s="40">
        <v>53.25</v>
      </c>
      <c r="E37" s="41" t="s">
        <v>63</v>
      </c>
      <c r="F37" s="20" t="s">
        <v>183</v>
      </c>
    </row>
    <row r="38" spans="1:6" ht="15">
      <c r="A38" s="20" t="s">
        <v>182</v>
      </c>
      <c r="B38" s="20">
        <v>38</v>
      </c>
      <c r="C38" s="20" t="s">
        <v>102</v>
      </c>
      <c r="D38" s="40">
        <v>53.9</v>
      </c>
      <c r="E38" s="41" t="s">
        <v>63</v>
      </c>
      <c r="F38" s="20" t="s">
        <v>183</v>
      </c>
    </row>
    <row r="39" spans="1:6" ht="15">
      <c r="A39" s="20" t="s">
        <v>182</v>
      </c>
      <c r="B39" s="20">
        <v>39</v>
      </c>
      <c r="C39" s="20" t="s">
        <v>103</v>
      </c>
      <c r="D39" s="40">
        <v>57.100999999999999</v>
      </c>
      <c r="E39" s="41" t="s">
        <v>104</v>
      </c>
      <c r="F39" s="20" t="s">
        <v>183</v>
      </c>
    </row>
    <row r="40" spans="1:6" ht="15">
      <c r="A40" s="20" t="s">
        <v>182</v>
      </c>
      <c r="B40" s="20">
        <v>40</v>
      </c>
      <c r="C40" s="20" t="s">
        <v>105</v>
      </c>
      <c r="D40" s="40">
        <v>57.655999999999999</v>
      </c>
      <c r="E40" s="41" t="s">
        <v>63</v>
      </c>
      <c r="F40" s="20" t="s">
        <v>183</v>
      </c>
    </row>
    <row r="41" spans="1:6" ht="15">
      <c r="A41" s="20" t="s">
        <v>182</v>
      </c>
      <c r="B41" s="20">
        <v>41</v>
      </c>
      <c r="C41" s="20" t="s">
        <v>106</v>
      </c>
      <c r="D41" s="40">
        <v>58.959000000000003</v>
      </c>
      <c r="E41" s="41" t="s">
        <v>63</v>
      </c>
      <c r="F41" s="20" t="s">
        <v>183</v>
      </c>
    </row>
    <row r="42" spans="1:6" ht="15">
      <c r="A42" s="20" t="s">
        <v>182</v>
      </c>
      <c r="B42" s="20">
        <v>42</v>
      </c>
      <c r="C42" s="20" t="s">
        <v>107</v>
      </c>
      <c r="D42" s="40">
        <v>59.237000000000002</v>
      </c>
      <c r="E42" s="41" t="s">
        <v>63</v>
      </c>
      <c r="F42" s="20" t="s">
        <v>183</v>
      </c>
    </row>
    <row r="43" spans="1:6" ht="15">
      <c r="A43" s="20" t="s">
        <v>182</v>
      </c>
      <c r="B43" s="20">
        <v>43</v>
      </c>
      <c r="C43" s="20" t="s">
        <v>108</v>
      </c>
      <c r="D43" s="40">
        <v>62.277999999999999</v>
      </c>
      <c r="E43" s="41" t="s">
        <v>109</v>
      </c>
      <c r="F43" s="20" t="s">
        <v>183</v>
      </c>
    </row>
    <row r="44" spans="1:6" ht="15">
      <c r="A44" s="20" t="s">
        <v>182</v>
      </c>
      <c r="B44" s="20">
        <v>44</v>
      </c>
      <c r="C44" s="20" t="s">
        <v>110</v>
      </c>
      <c r="D44" s="40">
        <v>62.53</v>
      </c>
      <c r="E44" s="41" t="s">
        <v>63</v>
      </c>
      <c r="F44" s="20" t="s">
        <v>183</v>
      </c>
    </row>
    <row r="45" spans="1:6" ht="15">
      <c r="A45" s="20" t="s">
        <v>182</v>
      </c>
      <c r="B45" s="20">
        <v>45</v>
      </c>
      <c r="C45" s="20" t="s">
        <v>111</v>
      </c>
      <c r="D45" s="40">
        <v>63.536999999999999</v>
      </c>
      <c r="E45" s="41" t="s">
        <v>63</v>
      </c>
      <c r="F45" s="20" t="s">
        <v>183</v>
      </c>
    </row>
    <row r="46" spans="1:6" ht="15">
      <c r="A46" s="20" t="s">
        <v>182</v>
      </c>
      <c r="B46" s="20">
        <v>46</v>
      </c>
      <c r="C46" s="20" t="s">
        <v>112</v>
      </c>
      <c r="D46" s="40">
        <v>64.644999999999996</v>
      </c>
      <c r="E46" s="41" t="s">
        <v>63</v>
      </c>
      <c r="F46" s="20" t="s">
        <v>183</v>
      </c>
    </row>
    <row r="47" spans="1:6" ht="15">
      <c r="A47" s="20" t="s">
        <v>182</v>
      </c>
      <c r="B47" s="20">
        <v>47</v>
      </c>
      <c r="C47" s="20" t="s">
        <v>113</v>
      </c>
      <c r="D47" s="40">
        <v>64.861999999999995</v>
      </c>
      <c r="E47" s="41" t="s">
        <v>63</v>
      </c>
      <c r="F47" s="20" t="s">
        <v>183</v>
      </c>
    </row>
    <row r="48" spans="1:6" ht="15">
      <c r="A48" s="20" t="s">
        <v>182</v>
      </c>
      <c r="B48" s="20">
        <v>48</v>
      </c>
      <c r="C48" s="20" t="s">
        <v>114</v>
      </c>
      <c r="D48" s="40">
        <v>65.7</v>
      </c>
      <c r="E48" s="41" t="s">
        <v>63</v>
      </c>
      <c r="F48" s="20" t="s">
        <v>183</v>
      </c>
    </row>
    <row r="49" spans="1:6" ht="15">
      <c r="A49" s="20" t="s">
        <v>182</v>
      </c>
      <c r="B49" s="20">
        <v>49</v>
      </c>
      <c r="C49" s="20" t="s">
        <v>115</v>
      </c>
      <c r="D49" s="40">
        <v>66.001000000000005</v>
      </c>
      <c r="E49" s="41" t="s">
        <v>63</v>
      </c>
      <c r="F49" s="20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showGridLines="0" zoomScale="242" workbookViewId="0">
      <selection sqref="A1:B1"/>
    </sheetView>
  </sheetViews>
  <sheetFormatPr baseColWidth="10" defaultColWidth="8.83203125" defaultRowHeight="14"/>
  <cols>
    <col min="1" max="1" width="25" customWidth="1"/>
    <col min="2" max="2" width="105" customWidth="1"/>
  </cols>
  <sheetData>
    <row r="1" spans="1:2" ht="30" customHeight="1">
      <c r="A1" s="46" t="s">
        <v>184</v>
      </c>
      <c r="B1" s="46"/>
    </row>
    <row r="2" spans="1:2" ht="15">
      <c r="A2" s="42" t="s">
        <v>185</v>
      </c>
      <c r="B2" s="43" t="s">
        <v>186</v>
      </c>
    </row>
    <row r="3" spans="1:2" ht="30">
      <c r="A3" s="42" t="s">
        <v>187</v>
      </c>
      <c r="B3" s="43" t="s">
        <v>188</v>
      </c>
    </row>
    <row r="4" spans="1:2" ht="30">
      <c r="A4" s="42" t="s">
        <v>189</v>
      </c>
      <c r="B4" s="43" t="s">
        <v>190</v>
      </c>
    </row>
    <row r="5" spans="1:2" ht="15">
      <c r="A5" s="42" t="s">
        <v>191</v>
      </c>
      <c r="B5" s="43" t="s">
        <v>192</v>
      </c>
    </row>
    <row r="6" spans="1:2" ht="30">
      <c r="A6" s="42" t="s">
        <v>193</v>
      </c>
      <c r="B6" s="43" t="s">
        <v>194</v>
      </c>
    </row>
    <row r="7" spans="1:2" ht="30">
      <c r="A7" s="42" t="s">
        <v>195</v>
      </c>
      <c r="B7" s="43" t="s">
        <v>196</v>
      </c>
    </row>
    <row r="8" spans="1:2" ht="30">
      <c r="A8" s="42" t="s">
        <v>130</v>
      </c>
      <c r="B8" s="43" t="s">
        <v>197</v>
      </c>
    </row>
    <row r="9" spans="1:2" ht="15">
      <c r="A9" s="42" t="s">
        <v>198</v>
      </c>
      <c r="B9" s="43" t="s">
        <v>199</v>
      </c>
    </row>
    <row r="10" spans="1:2" ht="15">
      <c r="A10" s="44" t="s">
        <v>200</v>
      </c>
      <c r="B10" s="44" t="s">
        <v>201</v>
      </c>
    </row>
    <row r="11" spans="1:2" ht="15">
      <c r="A11" s="43" t="s">
        <v>202</v>
      </c>
      <c r="B11" s="43" t="s">
        <v>203</v>
      </c>
    </row>
    <row r="12" spans="1:2" ht="15">
      <c r="A12" s="43" t="s">
        <v>204</v>
      </c>
      <c r="B12" s="43" t="s">
        <v>205</v>
      </c>
    </row>
    <row r="13" spans="1:2" ht="15">
      <c r="A13" s="43" t="s">
        <v>206</v>
      </c>
      <c r="B13" s="43" t="s">
        <v>207</v>
      </c>
    </row>
    <row r="14" spans="1:2" ht="15">
      <c r="A14" s="45" t="s">
        <v>208</v>
      </c>
      <c r="B14" s="45" t="s">
        <v>209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Clarks Fork Basin</vt:lpstr>
      <vt:lpstr>McCullough Peaks</vt:lpstr>
      <vt:lpstr>Southern Bighorn Basin</vt:lpstr>
      <vt:lpstr>Pg GTS2020 Magnetochrons</vt:lpstr>
      <vt:lpstr>CFB_standardized</vt:lpstr>
      <vt:lpstr>MCP_standardized</vt:lpstr>
      <vt:lpstr>SBHB_standardized</vt:lpstr>
      <vt:lpstr>GTS2020_standardized</vt:lpstr>
      <vt:lpstr>README_standardized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Allen</cp:lastModifiedBy>
  <dcterms:created xsi:type="dcterms:W3CDTF">2026-07-22T18:19:04Z</dcterms:created>
  <dcterms:modified xsi:type="dcterms:W3CDTF">2026-07-22T20:08:36Z</dcterms:modified>
</cp:coreProperties>
</file>
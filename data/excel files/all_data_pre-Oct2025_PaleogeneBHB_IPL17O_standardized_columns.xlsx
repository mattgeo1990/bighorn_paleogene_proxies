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fbf8b3bf5e03dc/MLA Work/NSF_EARPF/Data/data_corrected/final_compiled/"/>
    </mc:Choice>
  </mc:AlternateContent>
  <xr:revisionPtr revIDLastSave="57" documentId="8_{D2A65FDE-8ABB-104B-AC67-D5F1CEEF16A8}" xr6:coauthVersionLast="47" xr6:coauthVersionMax="47" xr10:uidLastSave="{2E0A6BBB-AAC1-C143-80D4-5FAC1E44403F}"/>
  <bookViews>
    <workbookView xWindow="0" yWindow="740" windowWidth="30240" windowHeight="18900" xr2:uid="{2EAD833E-6193-A342-9B12-40691AB8732D}"/>
  </bookViews>
  <sheets>
    <sheet name="all_data_PaleogeneBHB_IPL17O_st" sheetId="1" r:id="rId1"/>
  </sheets>
  <externalReferences>
    <externalReference r:id="rId2"/>
  </externalReferences>
  <definedNames>
    <definedName name="Type" localSheetId="0">[1]!Table1[Type]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90" i="1" l="1"/>
  <c r="AD41" i="1"/>
  <c r="AD36" i="1"/>
  <c r="AD34" i="1"/>
  <c r="AD32" i="1"/>
  <c r="AD29" i="1"/>
  <c r="AD27" i="1"/>
  <c r="AD25" i="1"/>
  <c r="AD22" i="1"/>
  <c r="AD20" i="1"/>
  <c r="AD18" i="1"/>
  <c r="AD16" i="1"/>
  <c r="AD14" i="1"/>
  <c r="AD12" i="1"/>
  <c r="AD10" i="1"/>
  <c r="AD8" i="1"/>
  <c r="AD6" i="1"/>
  <c r="AD4" i="1"/>
</calcChain>
</file>

<file path=xl/sharedStrings.xml><?xml version="1.0" encoding="utf-8"?>
<sst xmlns="http://schemas.openxmlformats.org/spreadsheetml/2006/main" count="121" uniqueCount="98">
  <si>
    <t>PB-00-03-08</t>
  </si>
  <si>
    <t>Data_3267 IPL-17O-5503 PB-00-03-08-R31-1 1</t>
  </si>
  <si>
    <t>analysis 5502,  ran as 5503</t>
  </si>
  <si>
    <t>Data_3268 IPL-17O-5504 PB-00-03-08-R31-2 1</t>
  </si>
  <si>
    <t>analysis 5503,  ran as 5504</t>
  </si>
  <si>
    <t>PB-00-03-16</t>
  </si>
  <si>
    <t>Data_3269 IPL-17O-5504 PB-00-03-16-R31-1 1</t>
  </si>
  <si>
    <t>PB-00-04-16</t>
  </si>
  <si>
    <t>Data_3271 IPL-17O-5506 PB-00-04-16-R31-1 1</t>
  </si>
  <si>
    <t>Data_3272 IPL-17O-5507 PB-00-04-16-R31-2 1</t>
  </si>
  <si>
    <t>PB-00-02-19</t>
  </si>
  <si>
    <t>Data_3273 IPL-17O-5508 PB-00-02-19-R31-1 1</t>
  </si>
  <si>
    <t>Data_3274 IPL-17O-5509 PB-00-02-19-R31-2 1</t>
  </si>
  <si>
    <t>PB-00-02-07D</t>
  </si>
  <si>
    <t>Data_3275 IPL-17O-5510 PB-00-02-07d-R31-1 1</t>
  </si>
  <si>
    <t>Data_3277 IPL-17O-5512 PB-00-02-07d-R31-2 1</t>
  </si>
  <si>
    <t>Previous sample is lost</t>
  </si>
  <si>
    <t>PB-00-04-11</t>
  </si>
  <si>
    <t>Data_3458 IPL-17O-5692 PB-00-04-11-R32-01 1</t>
  </si>
  <si>
    <t>Data_3459 IPL-17O-5693 PB-00-04-11-R32-02 1</t>
  </si>
  <si>
    <t>PB-00-02-09L</t>
  </si>
  <si>
    <t>Data_3460 IPL-17O-5694 PB-00-02-09-R32-01 1</t>
  </si>
  <si>
    <t>PB-00-01-07</t>
  </si>
  <si>
    <t>Data_3461 IPL-17O-5695 PB-00-01-07-R32-01 1</t>
  </si>
  <si>
    <t>Data_3462 IPL-17O-5696 PB-00-01-07-R32-02 1</t>
  </si>
  <si>
    <t>Data_3463 IPL-17O-5697 PB-00-03-16-R32-01 1</t>
  </si>
  <si>
    <t>SC-22-PK95</t>
  </si>
  <si>
    <t>Data_3464 IPL-17O-5698 SC-22-PK95-R32-01 1</t>
  </si>
  <si>
    <t>SC-23-PK95</t>
  </si>
  <si>
    <t>Data_3465 IPL-17O-5699 SC-23-PK95-R32-01 1</t>
  </si>
  <si>
    <t>SC-27-PK95</t>
  </si>
  <si>
    <t>Data_3466 IPL-17O-5700 SC-27-PK95-R32-01 1</t>
  </si>
  <si>
    <t>Data_3467 IPL-17O-5701 SC-27-PK95-R32-02 1</t>
  </si>
  <si>
    <t>Data_3468 IPL-17O-5702 SC-23-PK95-R32-02 1</t>
  </si>
  <si>
    <t>horizon_id</t>
  </si>
  <si>
    <t>comments</t>
  </si>
  <si>
    <t>d17O</t>
  </si>
  <si>
    <t>d.17O</t>
  </si>
  <si>
    <t>d17O.err</t>
  </si>
  <si>
    <t>d18O</t>
  </si>
  <si>
    <t>d.18O</t>
  </si>
  <si>
    <t>d18O.err</t>
  </si>
  <si>
    <t>CAP.17O</t>
  </si>
  <si>
    <t>CAP17O.err</t>
  </si>
  <si>
    <t>d33</t>
  </si>
  <si>
    <t>d33.err</t>
  </si>
  <si>
    <t>d34</t>
  </si>
  <si>
    <t>d34.err</t>
  </si>
  <si>
    <t>d35</t>
  </si>
  <si>
    <t>d35.err</t>
  </si>
  <si>
    <t>d36</t>
  </si>
  <si>
    <t>d36.err</t>
  </si>
  <si>
    <t>Data_3552 IPL-17O-5780 PB-00-02-09-R33-02 1</t>
  </si>
  <si>
    <t>Data_3553 IPL-17O-5781 PB-00-03-14-R33-01 1</t>
  </si>
  <si>
    <t>Data_3554 IPL-17O-5782 PB-00-03-14-R33-02 1</t>
  </si>
  <si>
    <t>Data_3555 IPL-17O-5783 PB-00-01-09D-R33-01 1</t>
  </si>
  <si>
    <t>Data_3606 IPL-17O-5829 PK95-SC-160-R34-01 1</t>
  </si>
  <si>
    <t>Data_3607 IPL-17O-5830 Pk95-SC-49-R34-01 1</t>
  </si>
  <si>
    <t>Data_3608 IPL-17O-5831 PK95-SC-176-R34-01 1</t>
  </si>
  <si>
    <t>Data_3609 IPL-17O-5832 PK95-SC-54-R34-01 1</t>
  </si>
  <si>
    <t>Data_3610 IPL-17O-5833 PK95-SC-118UPPER-R34-01 1</t>
  </si>
  <si>
    <t>Data_3613 IPL-17O-5836 PK95-SC-118UPPER-R34-02 1</t>
  </si>
  <si>
    <t>Data_3614 IPL-17O-5837 PK95-SC-54-R34-02 1</t>
  </si>
  <si>
    <t>Data_3615 IPL-17O-5838 PK95-SC-176-R34-02 1</t>
  </si>
  <si>
    <t>Data_3618 IPL-17O-5841 PK95-SC-56-R34-01 1</t>
  </si>
  <si>
    <t>Data_3619 IPL-17O-5842 PK95-SC-161-R34-01 1</t>
  </si>
  <si>
    <t>Data_3620 IPL-17O-5843 PK95-SC-31-R34-01 1</t>
  </si>
  <si>
    <t>Data_3621 IPL-17O-5844 PK95-SC-50-R34-01 1</t>
  </si>
  <si>
    <t>Data_3622 IPL-17O-5845 PK95-SC-43-R34-01 1</t>
  </si>
  <si>
    <t>Data_3623 IPL-17O-5846 PK95-SC-160-R34-02 1</t>
  </si>
  <si>
    <t>Data_3624 IPL-17O-5846 PK95-SC-160-R34-03 1</t>
  </si>
  <si>
    <t xml:space="preserve">ran as IPL 5846, ACTUALLY IS 5847. Changed IPL # here but DID NOT CHANGE SAMPLE NAME </t>
  </si>
  <si>
    <t>Data_3626 IPL-17O-5849 PK95-SC-161-R34-02 1</t>
  </si>
  <si>
    <t>Data_3627 IPL-17O-5850 PK95-SC-31-R34-02 1</t>
  </si>
  <si>
    <t>reactor_id</t>
  </si>
  <si>
    <t>SC-160-PK95</t>
  </si>
  <si>
    <t>SC-49-PK95</t>
  </si>
  <si>
    <t>SC-176-PK95</t>
  </si>
  <si>
    <t>SC-54-PK95</t>
  </si>
  <si>
    <t>SC-118-UP-PK95</t>
  </si>
  <si>
    <t>SC-56-PK95</t>
  </si>
  <si>
    <t>SC-161-PK95</t>
  </si>
  <si>
    <t>SC-31-PK95</t>
  </si>
  <si>
    <t>SC-50-PK95</t>
  </si>
  <si>
    <t>SC-43-PK95</t>
  </si>
  <si>
    <t>PB-00-03-14</t>
  </si>
  <si>
    <t xml:space="preserve"> PB-00-01-09D</t>
  </si>
  <si>
    <t>dp18Ocarb_SMOWSLAP</t>
  </si>
  <si>
    <t>dp17Ocarb_SMOWSLAP</t>
  </si>
  <si>
    <t>Dp17Ocarb_permeg_final_correction</t>
  </si>
  <si>
    <t>dp18O_O2_SMOWSLAP</t>
  </si>
  <si>
    <t>dp17O_O2_SMOWSLAP</t>
  </si>
  <si>
    <t>34_mismatch</t>
  </si>
  <si>
    <t>33_mismatch</t>
  </si>
  <si>
    <t>Name_full</t>
  </si>
  <si>
    <t>IPL_num</t>
  </si>
  <si>
    <t>Dp17O_O2_SMOWSLAP2</t>
  </si>
  <si>
    <t>singleton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</si>
</sst>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name val="Verdana"/>
      <family val="2"/>
    </font>
    <font>
      <b/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2F2F2"/>
        <bgColor rgb="FF000000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4" xfId="0" applyFont="1" applyFill="1" applyBorder="1"/>
    <xf numFmtId="0" fontId="2" fillId="6" borderId="5" xfId="0" applyFont="1" applyFill="1" applyBorder="1"/>
    <xf numFmtId="0" fontId="2" fillId="6" borderId="6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0" fillId="2" borderId="6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5" borderId="4" xfId="0" applyFont="1" applyFill="1" applyBorder="1"/>
    <xf numFmtId="0" fontId="0" fillId="5" borderId="5" xfId="0" applyFont="1" applyFill="1" applyBorder="1"/>
    <xf numFmtId="0" fontId="0" fillId="5" borderId="6" xfId="0" applyFont="1" applyFill="1" applyBorder="1"/>
    <xf numFmtId="11" fontId="0" fillId="5" borderId="5" xfId="0" applyNumberFormat="1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3" fillId="7" borderId="0" xfId="0" applyFont="1" applyFill="1"/>
  </cellXfs>
  <cellStyles count="2">
    <cellStyle name="Normal" xfId="0" builtinId="0"/>
    <cellStyle name="Normal 2" xfId="1" xr:uid="{1481DCEF-5BBB-6949-86A7-6C6A2430FA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IPL%20data%20raw/r31r34/Cap17O%20Compiled%20REACTOR%20THIRTY%20FOUR.xlsx" TargetMode="External"/><Relationship Id="rId2" Type="http://schemas.openxmlformats.org/officeDocument/2006/relationships/externalLinkPath" Target="https://d.docs.live.net/e6fbf8b3bf5e03dc/MLA%20Work/NSF_EARPF/Data/IPL%20data%20raw/r31r34/Cap17O%20Compiled%20REACTOR%20THIRTY%20FOUR.xlsx" TargetMode="External"/><Relationship Id="rId1" Type="http://schemas.openxmlformats.org/officeDocument/2006/relationships/externalLinkPath" Target="/e6fbf8b3bf5e03dc/MLA%20Work/NSF_EARPF/Data/IPL%20data%20raw/r31r34/Cap17O%20Compiled%20REACTOR%20THIRTY%20FOU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Data"/>
      <sheetName val="SMOW"/>
      <sheetName val="SLAP"/>
      <sheetName val="Standards"/>
      <sheetName val="Data sorting"/>
      <sheetName val="Cap17O Compiled REACTOR THIRTY 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513A-9B42-8A40-9B1F-ADF5E5D3D323}">
  <dimension ref="A1:AG90"/>
  <sheetViews>
    <sheetView tabSelected="1" zoomScale="87" workbookViewId="0">
      <pane xSplit="1" topLeftCell="Z1" activePane="topRight" state="frozen"/>
      <selection pane="topRight" activeCell="AF16" sqref="AF16"/>
    </sheetView>
  </sheetViews>
  <sheetFormatPr baseColWidth="10" defaultRowHeight="16" x14ac:dyDescent="0.2"/>
  <cols>
    <col min="1" max="1" width="28.6640625" customWidth="1"/>
    <col min="2" max="2" width="11.5" customWidth="1"/>
    <col min="4" max="4" width="40.1640625" customWidth="1"/>
    <col min="5" max="5" width="12" customWidth="1"/>
    <col min="13" max="13" width="12.83203125" customWidth="1"/>
    <col min="22" max="23" width="14.33203125" customWidth="1"/>
    <col min="24" max="25" width="21.83203125" customWidth="1"/>
    <col min="26" max="26" width="27.5" bestFit="1" customWidth="1"/>
    <col min="27" max="28" width="25" bestFit="1" customWidth="1"/>
    <col min="29" max="29" width="32.33203125" customWidth="1"/>
    <col min="33" max="33" width="25.33203125" customWidth="1"/>
    <col min="36" max="36" width="24" customWidth="1"/>
    <col min="37" max="37" width="24.1640625" customWidth="1"/>
    <col min="38" max="38" width="28.5" customWidth="1"/>
    <col min="39" max="39" width="27" customWidth="1"/>
    <col min="40" max="40" width="31.33203125" customWidth="1"/>
  </cols>
  <sheetData>
    <row r="1" spans="1:30" x14ac:dyDescent="0.2">
      <c r="A1" s="5" t="s">
        <v>34</v>
      </c>
      <c r="B1" s="6" t="s">
        <v>74</v>
      </c>
      <c r="C1" s="6" t="s">
        <v>95</v>
      </c>
      <c r="D1" s="6" t="s">
        <v>94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  <c r="S1" s="6" t="s">
        <v>49</v>
      </c>
      <c r="T1" s="6" t="s">
        <v>50</v>
      </c>
      <c r="U1" s="6" t="s">
        <v>51</v>
      </c>
      <c r="V1" s="6" t="s">
        <v>93</v>
      </c>
      <c r="W1" s="6" t="s">
        <v>92</v>
      </c>
      <c r="X1" s="6" t="s">
        <v>91</v>
      </c>
      <c r="Y1" s="6" t="s">
        <v>90</v>
      </c>
      <c r="Z1" s="6" t="s">
        <v>96</v>
      </c>
      <c r="AA1" s="6" t="s">
        <v>88</v>
      </c>
      <c r="AB1" s="6" t="s">
        <v>87</v>
      </c>
      <c r="AC1" s="7" t="s">
        <v>89</v>
      </c>
    </row>
    <row r="2" spans="1:30" s="4" customFormat="1" x14ac:dyDescent="0.2">
      <c r="A2" s="8" t="s">
        <v>86</v>
      </c>
      <c r="B2" s="9">
        <v>33</v>
      </c>
      <c r="C2" s="9">
        <v>5783</v>
      </c>
      <c r="D2" s="9" t="s">
        <v>55</v>
      </c>
      <c r="E2" s="9"/>
      <c r="F2" s="9">
        <v>13.621974021129599</v>
      </c>
      <c r="G2" s="9">
        <v>13.530028755821</v>
      </c>
      <c r="H2" s="9">
        <v>3.3907187691780199E-3</v>
      </c>
      <c r="I2" s="9">
        <v>26.340356705685799</v>
      </c>
      <c r="J2" s="9">
        <v>25.999423388733302</v>
      </c>
      <c r="K2" s="9">
        <v>1.2942832862516201E-3</v>
      </c>
      <c r="L2" s="9">
        <v>-0.19766679343016899</v>
      </c>
      <c r="M2" s="9">
        <v>3.3499167119415301E-3</v>
      </c>
      <c r="N2" s="9">
        <v>3.28810652393314</v>
      </c>
      <c r="O2" s="9">
        <v>3.3561504198541601E-3</v>
      </c>
      <c r="P2" s="9">
        <v>5.9201771103457803</v>
      </c>
      <c r="Q2" s="9">
        <v>1.2685320849279301E-3</v>
      </c>
      <c r="R2" s="9">
        <v>6.7606038924740401</v>
      </c>
      <c r="S2" s="9">
        <v>0.14660031609969601</v>
      </c>
      <c r="T2" s="9">
        <v>449.32717581551401</v>
      </c>
      <c r="U2" s="9">
        <v>0.106741285783059</v>
      </c>
      <c r="V2" s="9">
        <v>6.2201209545563897E-3</v>
      </c>
      <c r="W2" s="9">
        <v>8.5606163140678707E-3</v>
      </c>
      <c r="X2" s="9">
        <v>16.104961455775026</v>
      </c>
      <c r="Y2" s="9">
        <v>30.802512131605695</v>
      </c>
      <c r="Z2" s="9">
        <v>-158.76494971278277</v>
      </c>
      <c r="AA2" s="9">
        <v>11.841686600309835</v>
      </c>
      <c r="AB2" s="9">
        <v>22.641602309234973</v>
      </c>
      <c r="AC2" s="10">
        <v>-82.996333341442295</v>
      </c>
      <c r="AD2" s="4" t="s">
        <v>97</v>
      </c>
    </row>
    <row r="3" spans="1:30" s="4" customFormat="1" x14ac:dyDescent="0.2">
      <c r="A3" s="11" t="s">
        <v>22</v>
      </c>
      <c r="B3" s="12">
        <v>32</v>
      </c>
      <c r="C3" s="12">
        <v>5695</v>
      </c>
      <c r="D3" s="12" t="s">
        <v>23</v>
      </c>
      <c r="E3" s="12"/>
      <c r="F3" s="12">
        <v>13.481969810000001</v>
      </c>
      <c r="G3" s="12">
        <v>13.391896409999999</v>
      </c>
      <c r="H3" s="12">
        <v>4.0795919999999999E-3</v>
      </c>
      <c r="I3" s="12">
        <v>26.114603120000002</v>
      </c>
      <c r="J3" s="12">
        <v>25.779439400000001</v>
      </c>
      <c r="K3" s="12">
        <v>1.737253E-3</v>
      </c>
      <c r="L3" s="12">
        <v>-0.219647591</v>
      </c>
      <c r="M3" s="12">
        <v>3.914084E-3</v>
      </c>
      <c r="N3" s="12">
        <v>3.149529657</v>
      </c>
      <c r="O3" s="12">
        <v>4.0380010000000003E-3</v>
      </c>
      <c r="P3" s="12">
        <v>5.6989151419999997</v>
      </c>
      <c r="Q3" s="12">
        <v>1.7026879999999999E-3</v>
      </c>
      <c r="R3" s="12">
        <v>6.4470153210000003</v>
      </c>
      <c r="S3" s="12">
        <v>0.124533794</v>
      </c>
      <c r="T3" s="12">
        <v>574.37298729999998</v>
      </c>
      <c r="U3" s="12">
        <v>0.12794795</v>
      </c>
      <c r="V3" s="12">
        <v>4.6219023999999997E-2</v>
      </c>
      <c r="W3" s="12">
        <v>4.2881123E-2</v>
      </c>
      <c r="X3" s="12">
        <v>15.18062147</v>
      </c>
      <c r="Y3" s="12">
        <v>29.07522535</v>
      </c>
      <c r="Z3" s="12">
        <v>-171.0975191</v>
      </c>
      <c r="AA3" s="12">
        <v>12.70348321</v>
      </c>
      <c r="AB3" s="12">
        <v>24.251627809999999</v>
      </c>
      <c r="AC3" s="13">
        <v>-101.3762754</v>
      </c>
    </row>
    <row r="4" spans="1:30" s="4" customFormat="1" x14ac:dyDescent="0.2">
      <c r="A4" s="11" t="s">
        <v>22</v>
      </c>
      <c r="B4" s="12">
        <v>32</v>
      </c>
      <c r="C4" s="12">
        <v>5696</v>
      </c>
      <c r="D4" s="12" t="s">
        <v>24</v>
      </c>
      <c r="E4" s="12"/>
      <c r="F4" s="12">
        <v>12.73794517</v>
      </c>
      <c r="G4" s="12">
        <v>12.657499619999999</v>
      </c>
      <c r="H4" s="12">
        <v>4.254542E-3</v>
      </c>
      <c r="I4" s="12">
        <v>24.697383800000001</v>
      </c>
      <c r="J4" s="12">
        <v>24.397333660000001</v>
      </c>
      <c r="K4" s="12">
        <v>1.238783E-3</v>
      </c>
      <c r="L4" s="12">
        <v>-0.22429255200000001</v>
      </c>
      <c r="M4" s="12">
        <v>4.3391890000000002E-3</v>
      </c>
      <c r="N4" s="12">
        <v>2.413090339</v>
      </c>
      <c r="O4" s="12">
        <v>4.211167E-3</v>
      </c>
      <c r="P4" s="12">
        <v>4.3098929769999996</v>
      </c>
      <c r="Q4" s="12">
        <v>1.214136E-3</v>
      </c>
      <c r="R4" s="12">
        <v>4.1226717070000003</v>
      </c>
      <c r="S4" s="12">
        <v>0.14398328299999999</v>
      </c>
      <c r="T4" s="12">
        <v>587.38158610000005</v>
      </c>
      <c r="U4" s="12">
        <v>0.14379049699999999</v>
      </c>
      <c r="V4" s="12">
        <v>8.2890829999999999E-2</v>
      </c>
      <c r="W4" s="12">
        <v>7.8505420000000006E-2</v>
      </c>
      <c r="X4" s="12">
        <v>14.40390833</v>
      </c>
      <c r="Y4" s="12">
        <v>27.615608779999999</v>
      </c>
      <c r="Z4" s="12">
        <v>-177.13310569999999</v>
      </c>
      <c r="AA4" s="12">
        <v>11.707964670000001</v>
      </c>
      <c r="AB4" s="12">
        <v>22.377607080000001</v>
      </c>
      <c r="AC4" s="13">
        <v>-107.411862</v>
      </c>
      <c r="AD4" s="4">
        <f>STDEV(AC3:AC4)</f>
        <v>4.2678042132986596</v>
      </c>
    </row>
    <row r="5" spans="1:30" s="4" customFormat="1" x14ac:dyDescent="0.2">
      <c r="A5" s="14" t="s">
        <v>13</v>
      </c>
      <c r="B5" s="15">
        <v>31</v>
      </c>
      <c r="C5" s="15">
        <v>5510</v>
      </c>
      <c r="D5" s="15" t="s">
        <v>14</v>
      </c>
      <c r="E5" s="15"/>
      <c r="F5" s="15">
        <v>13.841924669999999</v>
      </c>
      <c r="G5" s="15">
        <v>13.746999819999999</v>
      </c>
      <c r="H5" s="15">
        <v>4.3653269999999996E-3</v>
      </c>
      <c r="I5" s="15">
        <v>26.829773280000001</v>
      </c>
      <c r="J5" s="15">
        <v>26.476165730000002</v>
      </c>
      <c r="K5" s="15">
        <v>1.6179650000000001E-3</v>
      </c>
      <c r="L5" s="15">
        <v>-0.23241568300000001</v>
      </c>
      <c r="M5" s="15">
        <v>4.3745570000000003E-3</v>
      </c>
      <c r="N5" s="15">
        <v>3.5058147759999998</v>
      </c>
      <c r="O5" s="15">
        <v>4.3208229999999997E-3</v>
      </c>
      <c r="P5" s="15">
        <v>6.3998562010000004</v>
      </c>
      <c r="Q5" s="15">
        <v>1.5857740000000001E-3</v>
      </c>
      <c r="R5" s="15">
        <v>6.9735611210000004</v>
      </c>
      <c r="S5" s="15">
        <v>0.14948677199999999</v>
      </c>
      <c r="T5" s="15">
        <v>94.091208800000004</v>
      </c>
      <c r="U5" s="15">
        <v>6.1765546999999997E-2</v>
      </c>
      <c r="V5" s="15">
        <v>2.6462184999999999E-2</v>
      </c>
      <c r="W5" s="15">
        <v>2.4713228E-2</v>
      </c>
      <c r="X5" s="15">
        <v>14.22651361</v>
      </c>
      <c r="Y5" s="15">
        <v>27.289022200000002</v>
      </c>
      <c r="Z5" s="15">
        <v>-182.09010839999999</v>
      </c>
      <c r="AA5" s="15">
        <v>9.980089628</v>
      </c>
      <c r="AB5" s="15">
        <v>19.12812319</v>
      </c>
      <c r="AC5" s="16">
        <v>-119.5594164</v>
      </c>
    </row>
    <row r="6" spans="1:30" s="4" customFormat="1" x14ac:dyDescent="0.2">
      <c r="A6" s="14" t="s">
        <v>13</v>
      </c>
      <c r="B6" s="15">
        <v>31</v>
      </c>
      <c r="C6" s="15">
        <v>5512</v>
      </c>
      <c r="D6" s="15" t="s">
        <v>15</v>
      </c>
      <c r="E6" s="15" t="s">
        <v>16</v>
      </c>
      <c r="F6" s="15">
        <v>14.047979379999999</v>
      </c>
      <c r="G6" s="15">
        <v>13.95022062</v>
      </c>
      <c r="H6" s="15">
        <v>4.4023589999999998E-3</v>
      </c>
      <c r="I6" s="15">
        <v>27.171618339999998</v>
      </c>
      <c r="J6" s="15">
        <v>26.809023289999999</v>
      </c>
      <c r="K6" s="15">
        <v>2.9576310000000001E-3</v>
      </c>
      <c r="L6" s="15">
        <v>-0.20494367399999999</v>
      </c>
      <c r="M6" s="15">
        <v>4.6504169999999996E-3</v>
      </c>
      <c r="N6" s="15">
        <v>3.7097687600000002</v>
      </c>
      <c r="O6" s="15">
        <v>4.3574770000000002E-3</v>
      </c>
      <c r="P6" s="15">
        <v>6.7348998729999998</v>
      </c>
      <c r="Q6" s="15">
        <v>2.8987850000000001E-3</v>
      </c>
      <c r="R6" s="15">
        <v>8.150095834</v>
      </c>
      <c r="S6" s="15">
        <v>0.13252866299999999</v>
      </c>
      <c r="T6" s="15">
        <v>86.896193389999993</v>
      </c>
      <c r="U6" s="15">
        <v>6.2633103999999995E-2</v>
      </c>
      <c r="V6" s="15">
        <v>6.4814052999999996E-2</v>
      </c>
      <c r="W6" s="15">
        <v>6.0717187999999998E-2</v>
      </c>
      <c r="X6" s="15">
        <v>14.43526559</v>
      </c>
      <c r="Y6" s="15">
        <v>27.630162800000001</v>
      </c>
      <c r="Z6" s="15">
        <v>-153.4603706</v>
      </c>
      <c r="AA6" s="15">
        <v>10.1888416</v>
      </c>
      <c r="AB6" s="15">
        <v>19.469263789999999</v>
      </c>
      <c r="AC6" s="16">
        <v>-90.929678550000006</v>
      </c>
      <c r="AD6" s="4">
        <f>STDEV(AC5:AC6)</f>
        <v>20.244281777328212</v>
      </c>
    </row>
    <row r="7" spans="1:30" s="4" customFormat="1" x14ac:dyDescent="0.2">
      <c r="A7" s="11" t="s">
        <v>20</v>
      </c>
      <c r="B7" s="12">
        <v>32</v>
      </c>
      <c r="C7" s="12">
        <v>5694</v>
      </c>
      <c r="D7" s="12" t="s">
        <v>21</v>
      </c>
      <c r="E7" s="12"/>
      <c r="F7" s="12">
        <v>11.94035747</v>
      </c>
      <c r="G7" s="12">
        <v>11.869633439999999</v>
      </c>
      <c r="H7" s="12">
        <v>4.4981769999999999E-3</v>
      </c>
      <c r="I7" s="12">
        <v>23.189641590000001</v>
      </c>
      <c r="J7" s="12">
        <v>22.92484765</v>
      </c>
      <c r="K7" s="12">
        <v>1.409967E-3</v>
      </c>
      <c r="L7" s="12">
        <v>-0.234686122</v>
      </c>
      <c r="M7" s="12">
        <v>4.5788599999999997E-3</v>
      </c>
      <c r="N7" s="12">
        <v>1.62363404</v>
      </c>
      <c r="O7" s="12">
        <v>4.4523189999999997E-3</v>
      </c>
      <c r="P7" s="12">
        <v>2.832148965</v>
      </c>
      <c r="Q7" s="12">
        <v>1.3819139999999999E-3</v>
      </c>
      <c r="R7" s="12">
        <v>1.947024801</v>
      </c>
      <c r="S7" s="12">
        <v>0.18025860499999999</v>
      </c>
      <c r="T7" s="12">
        <v>869.9388897</v>
      </c>
      <c r="U7" s="12">
        <v>0.42194433599999998</v>
      </c>
      <c r="V7" s="12">
        <v>8.0381159999999997E-3</v>
      </c>
      <c r="W7" s="12">
        <v>9.0311379999999993E-3</v>
      </c>
      <c r="X7" s="12">
        <v>13.55037892</v>
      </c>
      <c r="Y7" s="12">
        <v>26.02328047</v>
      </c>
      <c r="Z7" s="12">
        <v>-189.91316689999999</v>
      </c>
      <c r="AA7" s="12">
        <v>10.61573557</v>
      </c>
      <c r="AB7" s="12">
        <v>20.333196010000002</v>
      </c>
      <c r="AC7" s="13">
        <v>-120.19192320000001</v>
      </c>
    </row>
    <row r="8" spans="1:30" s="4" customFormat="1" x14ac:dyDescent="0.2">
      <c r="A8" s="8" t="s">
        <v>20</v>
      </c>
      <c r="B8" s="9">
        <v>33</v>
      </c>
      <c r="C8" s="9">
        <v>5780</v>
      </c>
      <c r="D8" s="9" t="s">
        <v>52</v>
      </c>
      <c r="E8" s="9"/>
      <c r="F8" s="9">
        <v>13.1995264462601</v>
      </c>
      <c r="G8" s="9">
        <v>13.1131688889482</v>
      </c>
      <c r="H8" s="9">
        <v>1.31693880998264E-2</v>
      </c>
      <c r="I8" s="9">
        <v>25.452894920222001</v>
      </c>
      <c r="J8" s="9">
        <v>25.134361859983802</v>
      </c>
      <c r="K8" s="9">
        <v>1.0687605187351901E-2</v>
      </c>
      <c r="L8" s="9">
        <v>-0.15809085606718801</v>
      </c>
      <c r="M8" s="9">
        <v>1.35119628229511E-2</v>
      </c>
      <c r="N8" s="9">
        <v>2.8647659925656801</v>
      </c>
      <c r="O8" s="9">
        <v>1.5712533911516099E-2</v>
      </c>
      <c r="P8" s="9">
        <v>5.0568438225844901</v>
      </c>
      <c r="Q8" s="9">
        <v>9.9857324548610401E-3</v>
      </c>
      <c r="R8" s="9">
        <v>6.3352875275978597</v>
      </c>
      <c r="S8" s="9">
        <v>0.264081251932334</v>
      </c>
      <c r="T8" s="9">
        <v>776.38779999363101</v>
      </c>
      <c r="U8" s="9">
        <v>0.22336820428247101</v>
      </c>
      <c r="V8" s="9">
        <v>4.7265180033979901E-3</v>
      </c>
      <c r="W8" s="9">
        <v>3.82622564154749E-3</v>
      </c>
      <c r="X8" s="9">
        <v>15.591875710824013</v>
      </c>
      <c r="Y8" s="9">
        <v>29.770133249228</v>
      </c>
      <c r="Z8" s="9">
        <v>-126.75464476837206</v>
      </c>
      <c r="AA8" s="9">
        <v>11.328600855358797</v>
      </c>
      <c r="AB8" s="9">
        <v>21.609223426857209</v>
      </c>
      <c r="AC8" s="10">
        <v>-50.986028397020938</v>
      </c>
      <c r="AD8" s="4">
        <f>STDEV(AC7:AC8)</f>
        <v>48.935957513269329</v>
      </c>
    </row>
    <row r="9" spans="1:30" s="4" customFormat="1" x14ac:dyDescent="0.2">
      <c r="A9" s="14" t="s">
        <v>10</v>
      </c>
      <c r="B9" s="15">
        <v>31</v>
      </c>
      <c r="C9" s="15">
        <v>5508</v>
      </c>
      <c r="D9" s="15" t="s">
        <v>11</v>
      </c>
      <c r="E9" s="15"/>
      <c r="F9" s="15">
        <v>13.748927180000001</v>
      </c>
      <c r="G9" s="15">
        <v>13.655267500000001</v>
      </c>
      <c r="H9" s="15">
        <v>5.9550949999999997E-3</v>
      </c>
      <c r="I9" s="15">
        <v>26.618072569999999</v>
      </c>
      <c r="J9" s="15">
        <v>26.269975240000001</v>
      </c>
      <c r="K9" s="15">
        <v>1.4489769999999999E-3</v>
      </c>
      <c r="L9" s="15">
        <v>-0.21527942799999999</v>
      </c>
      <c r="M9" s="15">
        <v>5.8484970000000002E-3</v>
      </c>
      <c r="N9" s="15">
        <v>3.4137653920000002</v>
      </c>
      <c r="O9" s="15">
        <v>5.8943829999999996E-3</v>
      </c>
      <c r="P9" s="15">
        <v>6.1923675080000002</v>
      </c>
      <c r="Q9" s="15">
        <v>1.420148E-3</v>
      </c>
      <c r="R9" s="15">
        <v>7.0959460050000001</v>
      </c>
      <c r="S9" s="15">
        <v>0.14713238100000001</v>
      </c>
      <c r="T9" s="15">
        <v>120.8172026</v>
      </c>
      <c r="U9" s="15">
        <v>8.9990647000000007E-2</v>
      </c>
      <c r="V9" s="15">
        <v>3.5179160000000001E-2</v>
      </c>
      <c r="W9" s="15">
        <v>3.8868147999999998E-2</v>
      </c>
      <c r="X9" s="15">
        <v>14.13403132</v>
      </c>
      <c r="Y9" s="15">
        <v>27.081001659999998</v>
      </c>
      <c r="Z9" s="15">
        <v>-164.73755510000001</v>
      </c>
      <c r="AA9" s="15">
        <v>9.8876073400000006</v>
      </c>
      <c r="AB9" s="15">
        <v>18.920102660000001</v>
      </c>
      <c r="AC9" s="16">
        <v>-102.206863</v>
      </c>
    </row>
    <row r="10" spans="1:30" s="4" customFormat="1" x14ac:dyDescent="0.2">
      <c r="A10" s="14" t="s">
        <v>10</v>
      </c>
      <c r="B10" s="15">
        <v>31</v>
      </c>
      <c r="C10" s="15">
        <v>5509</v>
      </c>
      <c r="D10" s="15" t="s">
        <v>12</v>
      </c>
      <c r="E10" s="15"/>
      <c r="F10" s="15">
        <v>13.341368859999999</v>
      </c>
      <c r="G10" s="15">
        <v>13.25315603</v>
      </c>
      <c r="H10" s="15">
        <v>5.0586190000000003E-3</v>
      </c>
      <c r="I10" s="15">
        <v>25.809216719999998</v>
      </c>
      <c r="J10" s="15">
        <v>25.481780820000001</v>
      </c>
      <c r="K10" s="15">
        <v>1.1370620000000001E-3</v>
      </c>
      <c r="L10" s="15">
        <v>-0.201224245</v>
      </c>
      <c r="M10" s="15">
        <v>4.8888810000000003E-3</v>
      </c>
      <c r="N10" s="15">
        <v>3.0103621290000002</v>
      </c>
      <c r="O10" s="15">
        <v>5.0070469999999997E-3</v>
      </c>
      <c r="P10" s="15">
        <v>5.3996047440000003</v>
      </c>
      <c r="Q10" s="15">
        <v>1.1144379999999999E-3</v>
      </c>
      <c r="R10" s="15">
        <v>6.3960457560000004</v>
      </c>
      <c r="S10" s="15">
        <v>0.155198225</v>
      </c>
      <c r="T10" s="15">
        <v>129.9497796</v>
      </c>
      <c r="U10" s="15">
        <v>7.3893768999999998E-2</v>
      </c>
      <c r="V10" s="15">
        <v>8.7990522000000002E-2</v>
      </c>
      <c r="W10" s="15">
        <v>9.1606557000000005E-2</v>
      </c>
      <c r="X10" s="15">
        <v>13.71933505</v>
      </c>
      <c r="Y10" s="15">
        <v>26.269346129999999</v>
      </c>
      <c r="Z10" s="15">
        <v>-150.8797136</v>
      </c>
      <c r="AA10" s="15">
        <v>9.4729110619999997</v>
      </c>
      <c r="AB10" s="15">
        <v>18.108447129999998</v>
      </c>
      <c r="AC10" s="16">
        <v>-88.349021519999994</v>
      </c>
      <c r="AD10" s="4">
        <f>STDEV(AC9:AC10)</f>
        <v>9.7989736831162251</v>
      </c>
    </row>
    <row r="11" spans="1:30" s="3" customFormat="1" x14ac:dyDescent="0.2">
      <c r="A11" s="14" t="s">
        <v>0</v>
      </c>
      <c r="B11" s="15">
        <v>31</v>
      </c>
      <c r="C11" s="15">
        <v>5502</v>
      </c>
      <c r="D11" s="15" t="s">
        <v>1</v>
      </c>
      <c r="E11" s="15" t="s">
        <v>2</v>
      </c>
      <c r="F11" s="15">
        <v>11.68346588</v>
      </c>
      <c r="G11" s="15">
        <v>11.61574079</v>
      </c>
      <c r="H11" s="15">
        <v>4.5529000000000003E-3</v>
      </c>
      <c r="I11" s="15">
        <v>22.662442070000001</v>
      </c>
      <c r="J11" s="15">
        <v>22.409463819999999</v>
      </c>
      <c r="K11" s="15">
        <v>1.651633E-3</v>
      </c>
      <c r="L11" s="15">
        <v>-0.21645610500000001</v>
      </c>
      <c r="M11" s="15">
        <v>4.3819499999999999E-3</v>
      </c>
      <c r="N11" s="15">
        <v>1.369361453</v>
      </c>
      <c r="O11" s="15">
        <v>4.5064830000000004E-3</v>
      </c>
      <c r="P11" s="15">
        <v>2.3154386640000002</v>
      </c>
      <c r="Q11" s="15">
        <v>1.6187720000000001E-3</v>
      </c>
      <c r="R11" s="15">
        <v>1.707504347</v>
      </c>
      <c r="S11" s="15">
        <v>0.16446282800000001</v>
      </c>
      <c r="T11" s="15">
        <v>98.532858239999996</v>
      </c>
      <c r="U11" s="15">
        <v>0.12896624400000001</v>
      </c>
      <c r="V11" s="15">
        <v>1.3902681E-2</v>
      </c>
      <c r="W11" s="15">
        <v>1.2718660999999999E-2</v>
      </c>
      <c r="X11" s="15">
        <v>12.03571312</v>
      </c>
      <c r="Y11" s="15">
        <v>23.11557955</v>
      </c>
      <c r="Z11" s="15">
        <v>-169.3128797</v>
      </c>
      <c r="AA11" s="15">
        <v>7.7892891410000002</v>
      </c>
      <c r="AB11" s="15">
        <v>14.954680550000001</v>
      </c>
      <c r="AC11" s="16">
        <v>-106.78218769999999</v>
      </c>
    </row>
    <row r="12" spans="1:30" s="3" customFormat="1" x14ac:dyDescent="0.2">
      <c r="A12" s="14" t="s">
        <v>0</v>
      </c>
      <c r="B12" s="15">
        <v>31</v>
      </c>
      <c r="C12" s="15">
        <v>5503</v>
      </c>
      <c r="D12" s="15" t="s">
        <v>3</v>
      </c>
      <c r="E12" s="15" t="s">
        <v>4</v>
      </c>
      <c r="F12" s="15">
        <v>13.381947719999999</v>
      </c>
      <c r="G12" s="15">
        <v>13.29320006</v>
      </c>
      <c r="H12" s="15">
        <v>3.7416569999999998E-3</v>
      </c>
      <c r="I12" s="15">
        <v>25.931924800000001</v>
      </c>
      <c r="J12" s="15">
        <v>25.601394389999999</v>
      </c>
      <c r="K12" s="15">
        <v>1.8904499999999999E-3</v>
      </c>
      <c r="L12" s="15">
        <v>-0.22433618</v>
      </c>
      <c r="M12" s="15">
        <v>3.9362349999999997E-3</v>
      </c>
      <c r="N12" s="15">
        <v>3.0505272880000001</v>
      </c>
      <c r="O12" s="15">
        <v>3.703511E-3</v>
      </c>
      <c r="P12" s="15">
        <v>5.5198714139999998</v>
      </c>
      <c r="Q12" s="15">
        <v>1.852837E-3</v>
      </c>
      <c r="R12" s="15">
        <v>6.9189637460000002</v>
      </c>
      <c r="S12" s="15">
        <v>0.15034134199999999</v>
      </c>
      <c r="T12" s="15">
        <v>104.64610039999999</v>
      </c>
      <c r="U12" s="15">
        <v>6.4027723999999994E-2</v>
      </c>
      <c r="V12" s="15">
        <v>6.7238050000000002E-3</v>
      </c>
      <c r="W12" s="15">
        <v>7.8022600000000001E-3</v>
      </c>
      <c r="X12" s="15">
        <v>13.76407326</v>
      </c>
      <c r="Y12" s="15">
        <v>26.399440779999999</v>
      </c>
      <c r="Z12" s="15">
        <v>-174.8314733</v>
      </c>
      <c r="AA12" s="15">
        <v>9.5176492770000003</v>
      </c>
      <c r="AB12" s="15">
        <v>18.238541779999998</v>
      </c>
      <c r="AC12" s="16">
        <v>-112.3007812</v>
      </c>
      <c r="AD12" s="4">
        <f>STDEV(AC11:AC12)</f>
        <v>3.9022348864620096</v>
      </c>
    </row>
    <row r="13" spans="1:30" s="3" customFormat="1" x14ac:dyDescent="0.2">
      <c r="A13" s="8" t="s">
        <v>85</v>
      </c>
      <c r="B13" s="9">
        <v>33</v>
      </c>
      <c r="C13" s="9">
        <v>5781</v>
      </c>
      <c r="D13" s="9" t="s">
        <v>53</v>
      </c>
      <c r="E13" s="9"/>
      <c r="F13" s="9">
        <v>13.546359498496599</v>
      </c>
      <c r="G13" s="9">
        <v>13.455427528373701</v>
      </c>
      <c r="H13" s="9">
        <v>4.08754092004636E-3</v>
      </c>
      <c r="I13" s="9">
        <v>26.2133032889482</v>
      </c>
      <c r="J13" s="9">
        <v>25.8756230251978</v>
      </c>
      <c r="K13" s="9">
        <v>1.7704889417259201E-3</v>
      </c>
      <c r="L13" s="9">
        <v>-0.20690142893072999</v>
      </c>
      <c r="M13" s="9">
        <v>4.2363356827134196E-3</v>
      </c>
      <c r="N13" s="9">
        <v>3.2132628907222198</v>
      </c>
      <c r="O13" s="9">
        <v>4.0458684747581696E-3</v>
      </c>
      <c r="P13" s="9">
        <v>5.7956515622349203</v>
      </c>
      <c r="Q13" s="9">
        <v>1.73526310077954E-3</v>
      </c>
      <c r="R13" s="9">
        <v>6.9413781759970297</v>
      </c>
      <c r="S13" s="9">
        <v>0.13932593996738801</v>
      </c>
      <c r="T13" s="9">
        <v>517.24315814711201</v>
      </c>
      <c r="U13" s="9">
        <v>9.0659694275142103E-2</v>
      </c>
      <c r="V13" s="9">
        <v>4.1564025203183003E-2</v>
      </c>
      <c r="W13" s="9">
        <v>3.5646973152582702E-2</v>
      </c>
      <c r="X13" s="9">
        <v>16.016615231690416</v>
      </c>
      <c r="Y13" s="9">
        <v>30.653660840521376</v>
      </c>
      <c r="Z13" s="9">
        <v>-168.51769210487078</v>
      </c>
      <c r="AA13" s="9">
        <v>11.753340376225079</v>
      </c>
      <c r="AB13" s="9">
        <v>22.492751018150578</v>
      </c>
      <c r="AC13" s="10">
        <v>-92.749075733636886</v>
      </c>
    </row>
    <row r="14" spans="1:30" s="3" customFormat="1" x14ac:dyDescent="0.2">
      <c r="A14" s="8" t="s">
        <v>85</v>
      </c>
      <c r="B14" s="9">
        <v>33</v>
      </c>
      <c r="C14" s="9">
        <v>5782</v>
      </c>
      <c r="D14" s="9" t="s">
        <v>54</v>
      </c>
      <c r="E14" s="9"/>
      <c r="F14" s="9">
        <v>13.464862974785801</v>
      </c>
      <c r="G14" s="9">
        <v>13.375016772051801</v>
      </c>
      <c r="H14" s="9">
        <v>5.3484894766715396E-3</v>
      </c>
      <c r="I14" s="9">
        <v>26.057996233336599</v>
      </c>
      <c r="J14" s="9">
        <v>25.724271640524101</v>
      </c>
      <c r="K14" s="9">
        <v>1.7027488635198099E-3</v>
      </c>
      <c r="L14" s="9">
        <v>-0.207398654144961</v>
      </c>
      <c r="M14" s="9">
        <v>4.8980197557032101E-3</v>
      </c>
      <c r="N14" s="9">
        <v>3.1325972233849599</v>
      </c>
      <c r="O14" s="9">
        <v>5.2939616714544396E-3</v>
      </c>
      <c r="P14" s="9">
        <v>5.6434345127282599</v>
      </c>
      <c r="Q14" s="9">
        <v>1.66887078655132E-3</v>
      </c>
      <c r="R14" s="9">
        <v>5.8427606654366002</v>
      </c>
      <c r="S14" s="9">
        <v>0.15296617002305199</v>
      </c>
      <c r="T14" s="9">
        <v>476.319536291188</v>
      </c>
      <c r="U14" s="9">
        <v>9.9303953857068306E-2</v>
      </c>
      <c r="V14" s="9">
        <v>2.5042657823876598E-2</v>
      </c>
      <c r="W14" s="9">
        <v>2.29418724826006E-2</v>
      </c>
      <c r="X14" s="9">
        <v>15.91988595577603</v>
      </c>
      <c r="Y14" s="9">
        <v>30.471682463909922</v>
      </c>
      <c r="Z14" s="9">
        <v>-169.16238516841099</v>
      </c>
      <c r="AA14" s="9">
        <v>11.656611100310959</v>
      </c>
      <c r="AB14" s="9">
        <v>22.31077264153927</v>
      </c>
      <c r="AC14" s="10">
        <v>-93.393768796987018</v>
      </c>
      <c r="AD14" s="24">
        <f>STDEV(AC13:AC14)</f>
        <v>0.45586683687880708</v>
      </c>
    </row>
    <row r="15" spans="1:30" s="3" customFormat="1" x14ac:dyDescent="0.2">
      <c r="A15" s="14" t="s">
        <v>5</v>
      </c>
      <c r="B15" s="15">
        <v>31</v>
      </c>
      <c r="C15" s="15">
        <v>5504</v>
      </c>
      <c r="D15" s="15" t="s">
        <v>6</v>
      </c>
      <c r="E15" s="15"/>
      <c r="F15" s="15">
        <v>13.66016224</v>
      </c>
      <c r="G15" s="15">
        <v>13.56770275</v>
      </c>
      <c r="H15" s="15">
        <v>5.2282300000000004E-3</v>
      </c>
      <c r="I15" s="15">
        <v>26.441148890000001</v>
      </c>
      <c r="J15" s="15">
        <v>26.097623980000002</v>
      </c>
      <c r="K15" s="15">
        <v>1.4037870000000001E-3</v>
      </c>
      <c r="L15" s="15">
        <v>-0.21184270799999999</v>
      </c>
      <c r="M15" s="15">
        <v>5.2023950000000003E-3</v>
      </c>
      <c r="N15" s="15">
        <v>3.3259054099999998</v>
      </c>
      <c r="O15" s="15">
        <v>5.174929E-3</v>
      </c>
      <c r="P15" s="15">
        <v>6.0189639189999999</v>
      </c>
      <c r="Q15" s="15">
        <v>1.3758570000000001E-3</v>
      </c>
      <c r="R15" s="15">
        <v>7.5375752550000001</v>
      </c>
      <c r="S15" s="15">
        <v>0.12983750599999999</v>
      </c>
      <c r="T15" s="15">
        <v>91.405511660000002</v>
      </c>
      <c r="U15" s="15">
        <v>6.4411093000000003E-2</v>
      </c>
      <c r="V15" s="15">
        <v>1.5574767999999999E-2</v>
      </c>
      <c r="W15" s="15">
        <v>1.3774846E-2</v>
      </c>
      <c r="X15" s="15">
        <v>14.04645052</v>
      </c>
      <c r="Y15" s="15">
        <v>26.909026449999999</v>
      </c>
      <c r="Z15" s="15">
        <v>-161.51544480000001</v>
      </c>
      <c r="AA15" s="15">
        <v>9.8000265379999991</v>
      </c>
      <c r="AB15" s="15">
        <v>18.748127440000001</v>
      </c>
      <c r="AC15" s="16">
        <v>-98.984752740000005</v>
      </c>
    </row>
    <row r="16" spans="1:30" s="3" customFormat="1" x14ac:dyDescent="0.2">
      <c r="A16" s="11" t="s">
        <v>5</v>
      </c>
      <c r="B16" s="12">
        <v>32</v>
      </c>
      <c r="C16" s="12">
        <v>5697</v>
      </c>
      <c r="D16" s="12" t="s">
        <v>25</v>
      </c>
      <c r="E16" s="12"/>
      <c r="F16" s="12">
        <v>13.094289249999999</v>
      </c>
      <c r="G16" s="12">
        <v>13.00929972</v>
      </c>
      <c r="H16" s="12">
        <v>4.9248069999999998E-3</v>
      </c>
      <c r="I16" s="12">
        <v>25.331460409999998</v>
      </c>
      <c r="J16" s="12">
        <v>25.0159363</v>
      </c>
      <c r="K16" s="12">
        <v>1.3314920000000001E-3</v>
      </c>
      <c r="L16" s="12">
        <v>-0.19911464400000001</v>
      </c>
      <c r="M16" s="12">
        <v>4.7402140000000004E-3</v>
      </c>
      <c r="N16" s="12">
        <v>2.7658014980000001</v>
      </c>
      <c r="O16" s="12">
        <v>4.8745990000000003E-3</v>
      </c>
      <c r="P16" s="12">
        <v>4.9313539290000001</v>
      </c>
      <c r="Q16" s="12">
        <v>1.3050010000000001E-3</v>
      </c>
      <c r="R16" s="12">
        <v>5.6317964949999997</v>
      </c>
      <c r="S16" s="12">
        <v>0.145452416</v>
      </c>
      <c r="T16" s="12">
        <v>539.04698529999996</v>
      </c>
      <c r="U16" s="12">
        <v>6.6945426000000002E-2</v>
      </c>
      <c r="V16" s="12">
        <v>2.5467282000000001E-2</v>
      </c>
      <c r="W16" s="12">
        <v>1.9442214999999999E-2</v>
      </c>
      <c r="X16" s="12">
        <v>14.78125541</v>
      </c>
      <c r="Y16" s="12">
        <v>28.2781512</v>
      </c>
      <c r="Z16" s="12">
        <v>-149.6084213</v>
      </c>
      <c r="AA16" s="12">
        <v>12.1846309</v>
      </c>
      <c r="AB16" s="12">
        <v>23.228253930000001</v>
      </c>
      <c r="AC16" s="13">
        <v>-79.887177589999993</v>
      </c>
      <c r="AD16" s="24">
        <f>STDEV(AC15:AC16)</f>
        <v>13.504024892784683</v>
      </c>
    </row>
    <row r="17" spans="1:30" s="3" customFormat="1" x14ac:dyDescent="0.2">
      <c r="A17" s="11" t="s">
        <v>17</v>
      </c>
      <c r="B17" s="12">
        <v>32</v>
      </c>
      <c r="C17" s="12">
        <v>5692</v>
      </c>
      <c r="D17" s="12" t="s">
        <v>18</v>
      </c>
      <c r="E17" s="12"/>
      <c r="F17" s="12">
        <v>12.548237220000001</v>
      </c>
      <c r="G17" s="12">
        <v>12.470160180000001</v>
      </c>
      <c r="H17" s="12">
        <v>4.5110849999999997E-3</v>
      </c>
      <c r="I17" s="12">
        <v>24.337442759999998</v>
      </c>
      <c r="J17" s="12">
        <v>24.046006240000001</v>
      </c>
      <c r="K17" s="12">
        <v>1.455689E-3</v>
      </c>
      <c r="L17" s="12">
        <v>-0.22613111799999999</v>
      </c>
      <c r="M17" s="12">
        <v>4.4216899999999998E-3</v>
      </c>
      <c r="N17" s="12">
        <v>2.225316463</v>
      </c>
      <c r="O17" s="12">
        <v>4.4650949999999997E-3</v>
      </c>
      <c r="P17" s="12">
        <v>3.9571133629999999</v>
      </c>
      <c r="Q17" s="12">
        <v>1.4267259999999999E-3</v>
      </c>
      <c r="R17" s="12">
        <v>2.8930425789999998</v>
      </c>
      <c r="S17" s="12">
        <v>0.14814609100000001</v>
      </c>
      <c r="T17" s="12">
        <v>471.0054652</v>
      </c>
      <c r="U17" s="12">
        <v>0.13365476600000001</v>
      </c>
      <c r="V17" s="12">
        <v>1.7464361000000001E-2</v>
      </c>
      <c r="W17" s="12">
        <v>1.4529182999999999E-2</v>
      </c>
      <c r="X17" s="12">
        <v>14.16085193</v>
      </c>
      <c r="Y17" s="12">
        <v>27.16189091</v>
      </c>
      <c r="Z17" s="12">
        <v>-180.62647010000001</v>
      </c>
      <c r="AA17" s="12">
        <v>11.39689321</v>
      </c>
      <c r="AB17" s="12">
        <v>21.7950728</v>
      </c>
      <c r="AC17" s="13">
        <v>-110.9052264</v>
      </c>
    </row>
    <row r="18" spans="1:30" s="3" customFormat="1" x14ac:dyDescent="0.2">
      <c r="A18" s="11" t="s">
        <v>17</v>
      </c>
      <c r="B18" s="12">
        <v>32</v>
      </c>
      <c r="C18" s="12">
        <v>5693</v>
      </c>
      <c r="D18" s="12" t="s">
        <v>19</v>
      </c>
      <c r="E18" s="12"/>
      <c r="F18" s="12">
        <v>12.586503609999999</v>
      </c>
      <c r="G18" s="12">
        <v>12.50795164</v>
      </c>
      <c r="H18" s="12">
        <v>4.438722E-3</v>
      </c>
      <c r="I18" s="12">
        <v>24.40776292</v>
      </c>
      <c r="J18" s="12">
        <v>24.11465329</v>
      </c>
      <c r="K18" s="12">
        <v>1.548628E-3</v>
      </c>
      <c r="L18" s="12">
        <v>-0.22458529399999999</v>
      </c>
      <c r="M18" s="12">
        <v>4.4566730000000004E-3</v>
      </c>
      <c r="N18" s="12">
        <v>2.2631927200000002</v>
      </c>
      <c r="O18" s="12">
        <v>4.3934689999999997E-3</v>
      </c>
      <c r="P18" s="12">
        <v>4.0260344249999998</v>
      </c>
      <c r="Q18" s="12">
        <v>1.517816E-3</v>
      </c>
      <c r="R18" s="12">
        <v>4.6587368329999999</v>
      </c>
      <c r="S18" s="12">
        <v>0.12517286699999999</v>
      </c>
      <c r="T18" s="12">
        <v>487.15185389999999</v>
      </c>
      <c r="U18" s="12">
        <v>0.119892689</v>
      </c>
      <c r="V18" s="12">
        <v>1.2438E-4</v>
      </c>
      <c r="W18" s="12">
        <v>7.2917900000000005E-4</v>
      </c>
      <c r="X18" s="12">
        <v>14.20997186</v>
      </c>
      <c r="Y18" s="12">
        <v>27.251207619999999</v>
      </c>
      <c r="Z18" s="12">
        <v>-178.66576190000001</v>
      </c>
      <c r="AA18" s="12">
        <v>11.459402259999999</v>
      </c>
      <c r="AB18" s="12">
        <v>21.909747679999999</v>
      </c>
      <c r="AC18" s="13">
        <v>-108.9445181</v>
      </c>
      <c r="AD18" s="3">
        <f>STDEV(AC17:AC18)</f>
        <v>1.3864301348587529</v>
      </c>
    </row>
    <row r="19" spans="1:30" s="3" customFormat="1" x14ac:dyDescent="0.2">
      <c r="A19" s="14" t="s">
        <v>7</v>
      </c>
      <c r="B19" s="15">
        <v>31</v>
      </c>
      <c r="C19" s="15">
        <v>5506</v>
      </c>
      <c r="D19" s="15" t="s">
        <v>8</v>
      </c>
      <c r="E19" s="15"/>
      <c r="F19" s="15">
        <v>13.45180377</v>
      </c>
      <c r="G19" s="15">
        <v>13.362130970000001</v>
      </c>
      <c r="H19" s="15">
        <v>5.4536330000000003E-3</v>
      </c>
      <c r="I19" s="15">
        <v>26.07924993</v>
      </c>
      <c r="J19" s="15">
        <v>25.744985379999999</v>
      </c>
      <c r="K19" s="15">
        <v>1.3832860000000001E-3</v>
      </c>
      <c r="L19" s="15">
        <v>-0.23122131300000001</v>
      </c>
      <c r="M19" s="15">
        <v>5.0895960000000001E-3</v>
      </c>
      <c r="N19" s="15">
        <v>3.119671157</v>
      </c>
      <c r="O19" s="15">
        <v>5.398033E-3</v>
      </c>
      <c r="P19" s="15">
        <v>5.6642653440000004</v>
      </c>
      <c r="Q19" s="15">
        <v>1.355764E-3</v>
      </c>
      <c r="R19" s="15">
        <v>6.6995550550000003</v>
      </c>
      <c r="S19" s="15">
        <v>0.154700909</v>
      </c>
      <c r="T19" s="15">
        <v>121.02840209999999</v>
      </c>
      <c r="U19" s="15">
        <v>0.10113773299999999</v>
      </c>
      <c r="V19" s="15">
        <v>6.3895789999999994E-2</v>
      </c>
      <c r="W19" s="15">
        <v>6.1139259000000001E-2</v>
      </c>
      <c r="X19" s="15">
        <v>13.832663630000001</v>
      </c>
      <c r="Y19" s="15">
        <v>26.542251870000001</v>
      </c>
      <c r="Z19" s="15">
        <v>-181.6453593</v>
      </c>
      <c r="AA19" s="15">
        <v>9.5862396469999993</v>
      </c>
      <c r="AB19" s="15">
        <v>18.381352870000001</v>
      </c>
      <c r="AC19" s="16">
        <v>-119.1146672</v>
      </c>
    </row>
    <row r="20" spans="1:30" s="3" customFormat="1" x14ac:dyDescent="0.2">
      <c r="A20" s="14" t="s">
        <v>7</v>
      </c>
      <c r="B20" s="15">
        <v>31</v>
      </c>
      <c r="C20" s="15">
        <v>5507</v>
      </c>
      <c r="D20" s="15" t="s">
        <v>9</v>
      </c>
      <c r="E20" s="15"/>
      <c r="F20" s="15">
        <v>13.299447430000001</v>
      </c>
      <c r="G20" s="15">
        <v>13.211785450000001</v>
      </c>
      <c r="H20" s="15">
        <v>6.0683550000000001E-3</v>
      </c>
      <c r="I20" s="15">
        <v>25.764036489999999</v>
      </c>
      <c r="J20" s="15">
        <v>25.437736220000001</v>
      </c>
      <c r="K20" s="15">
        <v>2.8010790000000002E-3</v>
      </c>
      <c r="L20" s="15">
        <v>-0.219339275</v>
      </c>
      <c r="M20" s="15">
        <v>5.7049079999999999E-3</v>
      </c>
      <c r="N20" s="15">
        <v>2.9688680839999999</v>
      </c>
      <c r="O20" s="15">
        <v>6.0064879999999999E-3</v>
      </c>
      <c r="P20" s="15">
        <v>5.3553234229999997</v>
      </c>
      <c r="Q20" s="15">
        <v>2.7453479999999999E-3</v>
      </c>
      <c r="R20" s="15">
        <v>6.3688549999999999</v>
      </c>
      <c r="S20" s="15">
        <v>0.13745017700000001</v>
      </c>
      <c r="T20" s="15">
        <v>121.95011119999999</v>
      </c>
      <c r="U20" s="15">
        <v>6.8616487000000004E-2</v>
      </c>
      <c r="V20" s="17">
        <v>1.3400000000000001E-7</v>
      </c>
      <c r="W20" s="17">
        <v>6.7799999999999995E-5</v>
      </c>
      <c r="X20" s="15">
        <v>13.67736536</v>
      </c>
      <c r="Y20" s="15">
        <v>26.225366090000001</v>
      </c>
      <c r="Z20" s="15">
        <v>-169.6279361</v>
      </c>
      <c r="AA20" s="15">
        <v>9.4309413739999997</v>
      </c>
      <c r="AB20" s="15">
        <v>18.06446708</v>
      </c>
      <c r="AC20" s="16">
        <v>-107.097244</v>
      </c>
      <c r="AD20" s="3">
        <f>STDEV(AC19:AC20)</f>
        <v>8.4976014371085373</v>
      </c>
    </row>
    <row r="21" spans="1:30" s="3" customFormat="1" x14ac:dyDescent="0.2">
      <c r="A21" s="18" t="s">
        <v>79</v>
      </c>
      <c r="B21" s="19">
        <v>34</v>
      </c>
      <c r="C21" s="19">
        <v>5833</v>
      </c>
      <c r="D21" s="19" t="s">
        <v>60</v>
      </c>
      <c r="E21" s="19"/>
      <c r="F21" s="19">
        <v>12.32504692</v>
      </c>
      <c r="G21" s="19">
        <v>12.249711570000001</v>
      </c>
      <c r="H21" s="19">
        <v>4.1775040000000003E-3</v>
      </c>
      <c r="I21" s="19">
        <v>23.8466852</v>
      </c>
      <c r="J21" s="19">
        <v>23.566793879999999</v>
      </c>
      <c r="K21" s="19">
        <v>1.580281E-3</v>
      </c>
      <c r="L21" s="19">
        <v>-0.193555597</v>
      </c>
      <c r="M21" s="19">
        <v>4.2331690000000002E-3</v>
      </c>
      <c r="N21" s="19">
        <v>2.0044015860000002</v>
      </c>
      <c r="O21" s="19">
        <v>4.1349100000000003E-3</v>
      </c>
      <c r="P21" s="19">
        <v>3.476119969</v>
      </c>
      <c r="Q21" s="19">
        <v>1.548839E-3</v>
      </c>
      <c r="R21" s="19">
        <v>3.1725232390000002</v>
      </c>
      <c r="S21" s="19">
        <v>0.15192841800000001</v>
      </c>
      <c r="T21" s="19">
        <v>92.280089360000005</v>
      </c>
      <c r="U21" s="19">
        <v>6.2074867999999998E-2</v>
      </c>
      <c r="V21" s="19">
        <v>4.1550425000000002E-2</v>
      </c>
      <c r="W21" s="19">
        <v>4.4439988E-2</v>
      </c>
      <c r="X21" s="19">
        <v>14.259723187503813</v>
      </c>
      <c r="Y21" s="19">
        <v>27.286741541484492</v>
      </c>
      <c r="Z21" s="19">
        <v>-147.67634639999903</v>
      </c>
      <c r="AA21" s="19">
        <v>9.9964483320385451</v>
      </c>
      <c r="AB21" s="19">
        <v>19.125831719113659</v>
      </c>
      <c r="AC21" s="20">
        <v>-86.858115958549945</v>
      </c>
    </row>
    <row r="22" spans="1:30" s="1" customFormat="1" x14ac:dyDescent="0.2">
      <c r="A22" s="18" t="s">
        <v>79</v>
      </c>
      <c r="B22" s="19">
        <v>34</v>
      </c>
      <c r="C22" s="19">
        <v>5836</v>
      </c>
      <c r="D22" s="19" t="s">
        <v>61</v>
      </c>
      <c r="E22" s="19"/>
      <c r="F22" s="19">
        <v>13.23365677</v>
      </c>
      <c r="G22" s="19">
        <v>13.146856400000001</v>
      </c>
      <c r="H22" s="19">
        <v>5.1983460000000004E-3</v>
      </c>
      <c r="I22" s="19">
        <v>25.604357579999999</v>
      </c>
      <c r="J22" s="19">
        <v>25.28205591</v>
      </c>
      <c r="K22" s="19">
        <v>2.00111E-3</v>
      </c>
      <c r="L22" s="19">
        <v>-0.20206912599999999</v>
      </c>
      <c r="M22" s="19">
        <v>5.3424400000000004E-3</v>
      </c>
      <c r="N22" s="19">
        <v>2.903748164</v>
      </c>
      <c r="O22" s="19">
        <v>5.1453499999999999E-3</v>
      </c>
      <c r="P22" s="19">
        <v>5.1988215010000003</v>
      </c>
      <c r="Q22" s="19">
        <v>1.961296E-3</v>
      </c>
      <c r="R22" s="19">
        <v>6.5577831680000003</v>
      </c>
      <c r="S22" s="19">
        <v>0.121993662</v>
      </c>
      <c r="T22" s="19">
        <v>90.996607949999998</v>
      </c>
      <c r="U22" s="19">
        <v>5.8499594000000002E-2</v>
      </c>
      <c r="V22" s="19">
        <v>9.5670700000000004E-3</v>
      </c>
      <c r="W22" s="19">
        <v>1.7974980000000002E-2</v>
      </c>
      <c r="X22" s="19">
        <v>15.377399270565054</v>
      </c>
      <c r="Y22" s="19">
        <v>29.417377890464117</v>
      </c>
      <c r="Z22" s="19">
        <v>-154.97625560000117</v>
      </c>
      <c r="AA22" s="19">
        <v>11.114124415099887</v>
      </c>
      <c r="AB22" s="19">
        <v>21.256468068093515</v>
      </c>
      <c r="AC22" s="20">
        <v>-94.158025158571604</v>
      </c>
      <c r="AD22" s="1">
        <f>STDEV(AC21:AC22)</f>
        <v>5.1618152973813807</v>
      </c>
    </row>
    <row r="23" spans="1:30" s="1" customFormat="1" x14ac:dyDescent="0.2">
      <c r="A23" s="18" t="s">
        <v>75</v>
      </c>
      <c r="B23" s="19">
        <v>34</v>
      </c>
      <c r="C23" s="19">
        <v>5829</v>
      </c>
      <c r="D23" s="19" t="s">
        <v>56</v>
      </c>
      <c r="E23" s="19"/>
      <c r="F23" s="19">
        <v>12.7460424</v>
      </c>
      <c r="G23" s="19">
        <v>12.66549506</v>
      </c>
      <c r="H23" s="19">
        <v>3.66301E-3</v>
      </c>
      <c r="I23" s="19">
        <v>24.730171120000001</v>
      </c>
      <c r="J23" s="19">
        <v>24.42933017</v>
      </c>
      <c r="K23" s="19">
        <v>2.015855E-3</v>
      </c>
      <c r="L23" s="19">
        <v>-0.23319126700000001</v>
      </c>
      <c r="M23" s="19">
        <v>3.5370179999999998E-3</v>
      </c>
      <c r="N23" s="19">
        <v>2.4211050190000001</v>
      </c>
      <c r="O23" s="19">
        <v>3.6256700000000001E-3</v>
      </c>
      <c r="P23" s="19">
        <v>4.3420279510000004</v>
      </c>
      <c r="Q23" s="19">
        <v>1.9757479999999998E-3</v>
      </c>
      <c r="R23" s="19">
        <v>5.2471970710000004</v>
      </c>
      <c r="S23" s="19">
        <v>0.14884130100000001</v>
      </c>
      <c r="T23" s="19">
        <v>102.21372959999999</v>
      </c>
      <c r="U23" s="19">
        <v>5.9238495000000002E-2</v>
      </c>
      <c r="V23" s="19">
        <v>4.3399999999999998E-5</v>
      </c>
      <c r="W23" s="19">
        <v>1.06E-5</v>
      </c>
      <c r="X23" s="19">
        <v>14.784798373307604</v>
      </c>
      <c r="Y23" s="19">
        <v>28.358172914597734</v>
      </c>
      <c r="Z23" s="19">
        <v>-188.31692560000056</v>
      </c>
      <c r="AA23" s="19">
        <v>10.521523517842288</v>
      </c>
      <c r="AB23" s="19">
        <v>20.197263092227086</v>
      </c>
      <c r="AC23" s="20">
        <v>-127.49869515869534</v>
      </c>
    </row>
    <row r="24" spans="1:30" s="1" customFormat="1" x14ac:dyDescent="0.2">
      <c r="A24" s="18" t="s">
        <v>75</v>
      </c>
      <c r="B24" s="19">
        <v>34</v>
      </c>
      <c r="C24" s="19">
        <v>5846</v>
      </c>
      <c r="D24" s="19" t="s">
        <v>69</v>
      </c>
      <c r="E24" s="19"/>
      <c r="F24" s="19">
        <v>12.81412063</v>
      </c>
      <c r="G24" s="19">
        <v>12.73271415</v>
      </c>
      <c r="H24" s="19">
        <v>4.1548389999999996E-3</v>
      </c>
      <c r="I24" s="19">
        <v>24.806908369999999</v>
      </c>
      <c r="J24" s="19">
        <v>24.5042127</v>
      </c>
      <c r="K24" s="19">
        <v>1.7990860000000001E-3</v>
      </c>
      <c r="L24" s="19">
        <v>-0.205510157</v>
      </c>
      <c r="M24" s="19">
        <v>4.3379600000000001E-3</v>
      </c>
      <c r="N24" s="19">
        <v>2.4884891869999999</v>
      </c>
      <c r="O24" s="19">
        <v>4.11248E-3</v>
      </c>
      <c r="P24" s="19">
        <v>4.4172384249999999</v>
      </c>
      <c r="Q24" s="19">
        <v>1.7632909999999999E-3</v>
      </c>
      <c r="R24" s="19">
        <v>4.6349155580000003</v>
      </c>
      <c r="S24" s="19">
        <v>0.16113881699999999</v>
      </c>
      <c r="T24" s="19">
        <v>116.9224511</v>
      </c>
      <c r="U24" s="19">
        <v>4.7427837E-2</v>
      </c>
      <c r="V24" s="19">
        <v>6.063606E-3</v>
      </c>
      <c r="W24" s="19">
        <v>5.2186860000000002E-3</v>
      </c>
      <c r="X24" s="19">
        <v>14.862923357824906</v>
      </c>
      <c r="Y24" s="19">
        <v>28.451189046638078</v>
      </c>
      <c r="Z24" s="19">
        <v>-159.30445879999945</v>
      </c>
      <c r="AA24" s="19">
        <v>10.599648502359818</v>
      </c>
      <c r="AB24" s="19">
        <v>20.290279224267252</v>
      </c>
      <c r="AC24" s="20">
        <v>-98.486228358374461</v>
      </c>
    </row>
    <row r="25" spans="1:30" s="1" customFormat="1" x14ac:dyDescent="0.2">
      <c r="A25" s="18" t="s">
        <v>75</v>
      </c>
      <c r="B25" s="19">
        <v>34</v>
      </c>
      <c r="C25" s="19">
        <v>5847</v>
      </c>
      <c r="D25" s="19" t="s">
        <v>70</v>
      </c>
      <c r="E25" s="19" t="s">
        <v>71</v>
      </c>
      <c r="F25" s="19">
        <v>13.212384350000001</v>
      </c>
      <c r="G25" s="19">
        <v>13.125861779999999</v>
      </c>
      <c r="H25" s="19">
        <v>3.9981399999999999E-3</v>
      </c>
      <c r="I25" s="19">
        <v>25.585189799999998</v>
      </c>
      <c r="J25" s="19">
        <v>25.263366520000002</v>
      </c>
      <c r="K25" s="19">
        <v>1.524807E-3</v>
      </c>
      <c r="L25" s="19">
        <v>-0.21319574399999999</v>
      </c>
      <c r="M25" s="19">
        <v>3.9506130000000004E-3</v>
      </c>
      <c r="N25" s="19">
        <v>2.8826926190000002</v>
      </c>
      <c r="O25" s="19">
        <v>3.9573799999999999E-3</v>
      </c>
      <c r="P25" s="19">
        <v>5.1800350890000004</v>
      </c>
      <c r="Q25" s="19">
        <v>1.494469E-3</v>
      </c>
      <c r="R25" s="19">
        <v>5.9178847250000004</v>
      </c>
      <c r="S25" s="19">
        <v>0.15701457099999999</v>
      </c>
      <c r="T25" s="19">
        <v>121.0522984</v>
      </c>
      <c r="U25" s="19">
        <v>6.5747927999999997E-2</v>
      </c>
      <c r="V25" s="19">
        <v>6.7743674000000004E-2</v>
      </c>
      <c r="W25" s="19">
        <v>7.0992869E-2</v>
      </c>
      <c r="X25" s="19">
        <v>15.353490870863949</v>
      </c>
      <c r="Y25" s="19">
        <v>29.394163456181722</v>
      </c>
      <c r="Z25" s="19">
        <v>-166.62743400000224</v>
      </c>
      <c r="AA25" s="19">
        <v>11.090216015398722</v>
      </c>
      <c r="AB25" s="19">
        <v>21.233253633811351</v>
      </c>
      <c r="AC25" s="20">
        <v>-105.80920355875386</v>
      </c>
      <c r="AD25" s="1">
        <f>STDEV(AC23:AC25)</f>
        <v>15.087429875501337</v>
      </c>
    </row>
    <row r="26" spans="1:30" s="2" customFormat="1" x14ac:dyDescent="0.2">
      <c r="A26" s="18" t="s">
        <v>81</v>
      </c>
      <c r="B26" s="19">
        <v>34</v>
      </c>
      <c r="C26" s="19">
        <v>5842</v>
      </c>
      <c r="D26" s="19" t="s">
        <v>65</v>
      </c>
      <c r="E26" s="19"/>
      <c r="F26" s="19">
        <v>13.453156760000001</v>
      </c>
      <c r="G26" s="19">
        <v>13.36346614</v>
      </c>
      <c r="H26" s="19">
        <v>4.7105159999999997E-3</v>
      </c>
      <c r="I26" s="19">
        <v>26.026107509999999</v>
      </c>
      <c r="J26" s="19">
        <v>25.693192280000002</v>
      </c>
      <c r="K26" s="19">
        <v>1.7309249999999999E-3</v>
      </c>
      <c r="L26" s="19">
        <v>-0.20253938599999999</v>
      </c>
      <c r="M26" s="19">
        <v>4.9533329999999999E-3</v>
      </c>
      <c r="N26" s="19">
        <v>3.1210103519999999</v>
      </c>
      <c r="O26" s="19">
        <v>4.66249E-3</v>
      </c>
      <c r="P26" s="19">
        <v>5.6121802489999997</v>
      </c>
      <c r="Q26" s="19">
        <v>1.696487E-3</v>
      </c>
      <c r="R26" s="19">
        <v>6.788513773</v>
      </c>
      <c r="S26" s="19">
        <v>0.122878934</v>
      </c>
      <c r="T26" s="19">
        <v>113.8662834</v>
      </c>
      <c r="U26" s="19">
        <v>6.4846219999999996E-2</v>
      </c>
      <c r="V26" s="19">
        <v>2.201064E-3</v>
      </c>
      <c r="W26" s="19">
        <v>6.8363899999999999E-4</v>
      </c>
      <c r="X26" s="19">
        <v>15.646932511693977</v>
      </c>
      <c r="Y26" s="19">
        <v>29.92805284108708</v>
      </c>
      <c r="Z26" s="19">
        <v>-155.07938840000079</v>
      </c>
      <c r="AA26" s="19">
        <v>11.383657656228799</v>
      </c>
      <c r="AB26" s="19">
        <v>21.767143018716318</v>
      </c>
      <c r="AC26" s="20">
        <v>-94.261157958500178</v>
      </c>
    </row>
    <row r="27" spans="1:30" s="2" customFormat="1" x14ac:dyDescent="0.2">
      <c r="A27" s="18" t="s">
        <v>81</v>
      </c>
      <c r="B27" s="19">
        <v>34</v>
      </c>
      <c r="C27" s="19">
        <v>5849</v>
      </c>
      <c r="D27" s="19" t="s">
        <v>72</v>
      </c>
      <c r="E27" s="19"/>
      <c r="F27" s="19">
        <v>13.227496670000001</v>
      </c>
      <c r="G27" s="19">
        <v>13.140776839999999</v>
      </c>
      <c r="H27" s="19">
        <v>4.505673E-3</v>
      </c>
      <c r="I27" s="19">
        <v>25.605591440000001</v>
      </c>
      <c r="J27" s="19">
        <v>25.28325899</v>
      </c>
      <c r="K27" s="19">
        <v>1.767233E-3</v>
      </c>
      <c r="L27" s="19">
        <v>-0.20878390899999999</v>
      </c>
      <c r="M27" s="19">
        <v>4.4059440000000002E-3</v>
      </c>
      <c r="N27" s="19">
        <v>2.8976508669999999</v>
      </c>
      <c r="O27" s="19">
        <v>4.4597400000000002E-3</v>
      </c>
      <c r="P27" s="19">
        <v>5.2000308159999999</v>
      </c>
      <c r="Q27" s="19">
        <v>1.7320720000000001E-3</v>
      </c>
      <c r="R27" s="19">
        <v>6.858897539</v>
      </c>
      <c r="S27" s="19">
        <v>0.157472695</v>
      </c>
      <c r="T27" s="19">
        <v>105.5069762</v>
      </c>
      <c r="U27" s="19">
        <v>6.6010417000000002E-2</v>
      </c>
      <c r="V27" s="19">
        <v>2.0603493000000001E-2</v>
      </c>
      <c r="W27" s="19">
        <v>1.7374003999999998E-2</v>
      </c>
      <c r="X27" s="19">
        <v>15.371168721832213</v>
      </c>
      <c r="Y27" s="19">
        <v>29.418872229227674</v>
      </c>
      <c r="Z27" s="19">
        <v>-161.99581519999919</v>
      </c>
      <c r="AA27" s="19">
        <v>11.107893866367167</v>
      </c>
      <c r="AB27" s="19">
        <v>21.257962406856969</v>
      </c>
      <c r="AC27" s="20">
        <v>-101.17758475839551</v>
      </c>
      <c r="AD27" s="2">
        <f>STDEV(AC26:AC27)</f>
        <v>4.8906522917863624</v>
      </c>
    </row>
    <row r="28" spans="1:30" s="2" customFormat="1" x14ac:dyDescent="0.2">
      <c r="A28" s="18" t="s">
        <v>77</v>
      </c>
      <c r="B28" s="19">
        <v>34</v>
      </c>
      <c r="C28" s="19">
        <v>5831</v>
      </c>
      <c r="D28" s="19" t="s">
        <v>58</v>
      </c>
      <c r="E28" s="19"/>
      <c r="F28" s="19">
        <v>13.57188032</v>
      </c>
      <c r="G28" s="19">
        <v>13.480606870000001</v>
      </c>
      <c r="H28" s="19">
        <v>4.5026809999999997E-3</v>
      </c>
      <c r="I28" s="19">
        <v>26.236915669999998</v>
      </c>
      <c r="J28" s="19">
        <v>25.898631999999999</v>
      </c>
      <c r="K28" s="19">
        <v>1.7273220000000001E-3</v>
      </c>
      <c r="L28" s="19">
        <v>-0.193870825</v>
      </c>
      <c r="M28" s="19">
        <v>4.5860459999999999E-3</v>
      </c>
      <c r="N28" s="19">
        <v>3.2385235259999998</v>
      </c>
      <c r="O28" s="19">
        <v>4.4567799999999996E-3</v>
      </c>
      <c r="P28" s="19">
        <v>5.8187941500000004</v>
      </c>
      <c r="Q28" s="19">
        <v>1.6929549999999999E-3</v>
      </c>
      <c r="R28" s="19">
        <v>7.8047826059999998</v>
      </c>
      <c r="S28" s="19">
        <v>0.13806792700000001</v>
      </c>
      <c r="T28" s="19">
        <v>106.930532</v>
      </c>
      <c r="U28" s="19">
        <v>6.2282576999999999E-2</v>
      </c>
      <c r="V28" s="19">
        <v>3.3144024000000001E-2</v>
      </c>
      <c r="W28" s="19">
        <v>2.5995664000000002E-2</v>
      </c>
      <c r="X28" s="19">
        <v>15.790922685206118</v>
      </c>
      <c r="Y28" s="19">
        <v>30.183227280314618</v>
      </c>
      <c r="Z28" s="19">
        <v>-145.82131880000128</v>
      </c>
      <c r="AA28" s="19">
        <v>11.527647829740861</v>
      </c>
      <c r="AB28" s="19">
        <v>22.022317457943934</v>
      </c>
      <c r="AC28" s="20">
        <v>-85.003088358619664</v>
      </c>
    </row>
    <row r="29" spans="1:30" s="2" customFormat="1" x14ac:dyDescent="0.2">
      <c r="A29" s="18" t="s">
        <v>77</v>
      </c>
      <c r="B29" s="19">
        <v>34</v>
      </c>
      <c r="C29" s="19">
        <v>5838</v>
      </c>
      <c r="D29" s="19" t="s">
        <v>63</v>
      </c>
      <c r="E29" s="19"/>
      <c r="F29" s="19">
        <v>13.784000000000001</v>
      </c>
      <c r="G29" s="19">
        <v>13.69</v>
      </c>
      <c r="H29" s="19">
        <v>4.0000000000000001E-3</v>
      </c>
      <c r="I29" s="19">
        <v>26.645</v>
      </c>
      <c r="J29" s="19">
        <v>26.295999999999999</v>
      </c>
      <c r="K29" s="19">
        <v>2E-3</v>
      </c>
      <c r="L29" s="19">
        <v>-0.19400000000000001</v>
      </c>
      <c r="M29" s="19">
        <v>4.0000000000000001E-3</v>
      </c>
      <c r="N29" s="19">
        <v>3.4489999999999998</v>
      </c>
      <c r="O29" s="19">
        <v>4.0000000000000001E-3</v>
      </c>
      <c r="P29" s="19">
        <v>6.218</v>
      </c>
      <c r="Q29" s="19">
        <v>2E-3</v>
      </c>
      <c r="R29" s="19">
        <v>8.3030000000000008</v>
      </c>
      <c r="S29" s="19">
        <v>0.13700000000000001</v>
      </c>
      <c r="T29" s="19">
        <v>111.283</v>
      </c>
      <c r="U29" s="19">
        <v>0.06</v>
      </c>
      <c r="V29" s="19">
        <v>8.3000000000000004E-2</v>
      </c>
      <c r="W29" s="19">
        <v>7.8E-2</v>
      </c>
      <c r="X29" s="19">
        <v>16.051633838336478</v>
      </c>
      <c r="Y29" s="19">
        <v>30.67644558851606</v>
      </c>
      <c r="Z29" s="19">
        <v>-145.5294324000036</v>
      </c>
      <c r="AA29" s="19">
        <v>11.788358982871291</v>
      </c>
      <c r="AB29" s="19">
        <v>22.515535766145426</v>
      </c>
      <c r="AC29" s="20">
        <v>-84.71120195857759</v>
      </c>
      <c r="AD29" s="2">
        <f>STDEV(AC28:AC29)</f>
        <v>0.20639485280587988</v>
      </c>
    </row>
    <row r="30" spans="1:30" s="2" customFormat="1" x14ac:dyDescent="0.2">
      <c r="A30" s="11" t="s">
        <v>26</v>
      </c>
      <c r="B30" s="12">
        <v>32</v>
      </c>
      <c r="C30" s="12">
        <v>5698</v>
      </c>
      <c r="D30" s="12" t="s">
        <v>27</v>
      </c>
      <c r="E30" s="12"/>
      <c r="F30" s="12">
        <v>12.866333709999999</v>
      </c>
      <c r="G30" s="12">
        <v>12.784265380000001</v>
      </c>
      <c r="H30" s="12">
        <v>3.644783E-3</v>
      </c>
      <c r="I30" s="12">
        <v>24.960654309999999</v>
      </c>
      <c r="J30" s="12">
        <v>24.654225780000001</v>
      </c>
      <c r="K30" s="12">
        <v>1.3526300000000001E-3</v>
      </c>
      <c r="L30" s="12">
        <v>-0.23316583499999999</v>
      </c>
      <c r="M30" s="12">
        <v>3.591786E-3</v>
      </c>
      <c r="N30" s="12">
        <v>2.5401699569999998</v>
      </c>
      <c r="O30" s="12">
        <v>3.6076239999999998E-3</v>
      </c>
      <c r="P30" s="12">
        <v>4.5679254250000003</v>
      </c>
      <c r="Q30" s="12">
        <v>1.3257169999999999E-3</v>
      </c>
      <c r="R30" s="12">
        <v>4.268302888</v>
      </c>
      <c r="S30" s="12">
        <v>0.168744272</v>
      </c>
      <c r="T30" s="12">
        <v>629.06344960000001</v>
      </c>
      <c r="U30" s="12">
        <v>0.145688287</v>
      </c>
      <c r="V30" s="12">
        <v>2.1416946999999999E-2</v>
      </c>
      <c r="W30" s="12">
        <v>1.9523180000000001E-2</v>
      </c>
      <c r="X30" s="12">
        <v>14.55089568</v>
      </c>
      <c r="Y30" s="12">
        <v>27.910889359999999</v>
      </c>
      <c r="Z30" s="12">
        <v>-186.0539023</v>
      </c>
      <c r="AA30" s="12">
        <v>11.89921638</v>
      </c>
      <c r="AB30" s="12">
        <v>22.75672166</v>
      </c>
      <c r="AC30" s="13">
        <v>-116.33265849999999</v>
      </c>
      <c r="AD30" s="2" t="s">
        <v>97</v>
      </c>
    </row>
    <row r="31" spans="1:30" s="2" customFormat="1" x14ac:dyDescent="0.2">
      <c r="A31" s="11" t="s">
        <v>28</v>
      </c>
      <c r="B31" s="12">
        <v>32</v>
      </c>
      <c r="C31" s="12">
        <v>5699</v>
      </c>
      <c r="D31" s="12" t="s">
        <v>29</v>
      </c>
      <c r="E31" s="12"/>
      <c r="F31" s="12">
        <v>13.376127070000001</v>
      </c>
      <c r="G31" s="12">
        <v>13.28745612</v>
      </c>
      <c r="H31" s="12">
        <v>4.5723769999999999E-3</v>
      </c>
      <c r="I31" s="12">
        <v>25.897571679999999</v>
      </c>
      <c r="J31" s="12">
        <v>25.56790904</v>
      </c>
      <c r="K31" s="12">
        <v>1.6716929999999999E-3</v>
      </c>
      <c r="L31" s="12">
        <v>-0.212399853</v>
      </c>
      <c r="M31" s="12">
        <v>4.5130889999999996E-3</v>
      </c>
      <c r="N31" s="12">
        <v>3.0447659800000002</v>
      </c>
      <c r="O31" s="12">
        <v>4.525762E-3</v>
      </c>
      <c r="P31" s="12">
        <v>5.4862017859999996</v>
      </c>
      <c r="Q31" s="12">
        <v>1.6384329999999999E-3</v>
      </c>
      <c r="R31" s="12">
        <v>5.6719725360000002</v>
      </c>
      <c r="S31" s="12">
        <v>0.16329982900000001</v>
      </c>
      <c r="T31" s="12">
        <v>671.9012305</v>
      </c>
      <c r="U31" s="12">
        <v>0.12537083399999999</v>
      </c>
      <c r="V31" s="12">
        <v>0.26945130499999997</v>
      </c>
      <c r="W31" s="12">
        <v>0.25867277300000002</v>
      </c>
      <c r="X31" s="12">
        <v>15.09008594</v>
      </c>
      <c r="Y31" s="12">
        <v>28.888345309999998</v>
      </c>
      <c r="Z31" s="12">
        <v>-162.9603836</v>
      </c>
      <c r="AA31" s="12">
        <v>12.584933230000001</v>
      </c>
      <c r="AB31" s="12">
        <v>24.011690089999998</v>
      </c>
      <c r="AC31" s="13">
        <v>-93.239139910000006</v>
      </c>
    </row>
    <row r="32" spans="1:30" s="2" customFormat="1" x14ac:dyDescent="0.2">
      <c r="A32" s="11" t="s">
        <v>28</v>
      </c>
      <c r="B32" s="12">
        <v>32</v>
      </c>
      <c r="C32" s="12">
        <v>5702</v>
      </c>
      <c r="D32" s="12" t="s">
        <v>33</v>
      </c>
      <c r="E32" s="12"/>
      <c r="F32" s="12">
        <v>12.37509028</v>
      </c>
      <c r="G32" s="12">
        <v>12.29914443</v>
      </c>
      <c r="H32" s="12">
        <v>4.2049339999999996E-3</v>
      </c>
      <c r="I32" s="12">
        <v>23.978580919999999</v>
      </c>
      <c r="J32" s="12">
        <v>23.695609279999999</v>
      </c>
      <c r="K32" s="12">
        <v>1.637548E-3</v>
      </c>
      <c r="L32" s="12">
        <v>-0.21213727199999999</v>
      </c>
      <c r="M32" s="12">
        <v>4.249081E-3</v>
      </c>
      <c r="N32" s="12">
        <v>2.0539347540000001</v>
      </c>
      <c r="O32" s="12">
        <v>4.1620650000000004E-3</v>
      </c>
      <c r="P32" s="12">
        <v>3.6053914759999999</v>
      </c>
      <c r="Q32" s="12">
        <v>1.6049669999999999E-3</v>
      </c>
      <c r="R32" s="12">
        <v>3.9284928990000001</v>
      </c>
      <c r="S32" s="12">
        <v>0.125695739</v>
      </c>
      <c r="T32" s="12">
        <v>490.39022510000001</v>
      </c>
      <c r="U32" s="12">
        <v>0.107893119</v>
      </c>
      <c r="V32" s="12">
        <v>2.9615219999999999E-3</v>
      </c>
      <c r="W32" s="12">
        <v>4.0101060000000003E-3</v>
      </c>
      <c r="X32" s="12">
        <v>14.05520626</v>
      </c>
      <c r="Y32" s="12">
        <v>26.929989259999999</v>
      </c>
      <c r="Z32" s="12">
        <v>-163.82806909999999</v>
      </c>
      <c r="AA32" s="12">
        <v>11.256484070000001</v>
      </c>
      <c r="AB32" s="12">
        <v>21.497331249999998</v>
      </c>
      <c r="AC32" s="13">
        <v>-94.106825349999994</v>
      </c>
      <c r="AD32" s="2">
        <f>STDEV(AC31:AC32)</f>
        <v>0.6135462585608249</v>
      </c>
    </row>
    <row r="33" spans="1:30" s="2" customFormat="1" x14ac:dyDescent="0.2">
      <c r="A33" s="11" t="s">
        <v>30</v>
      </c>
      <c r="B33" s="12">
        <v>32</v>
      </c>
      <c r="C33" s="12">
        <v>5700</v>
      </c>
      <c r="D33" s="12" t="s">
        <v>31</v>
      </c>
      <c r="E33" s="12"/>
      <c r="F33" s="12">
        <v>12.43797595</v>
      </c>
      <c r="G33" s="12">
        <v>12.361259459999999</v>
      </c>
      <c r="H33" s="12">
        <v>4.1883550000000004E-3</v>
      </c>
      <c r="I33" s="12">
        <v>24.115639770000001</v>
      </c>
      <c r="J33" s="12">
        <v>23.829449660000002</v>
      </c>
      <c r="K33" s="12">
        <v>1.664078E-3</v>
      </c>
      <c r="L33" s="12">
        <v>-0.22068995499999999</v>
      </c>
      <c r="M33" s="12">
        <v>4.1255220000000004E-3</v>
      </c>
      <c r="N33" s="12">
        <v>2.1161792990000001</v>
      </c>
      <c r="O33" s="12">
        <v>4.1456549999999998E-3</v>
      </c>
      <c r="P33" s="12">
        <v>3.7397233889999999</v>
      </c>
      <c r="Q33" s="12">
        <v>1.63097E-3</v>
      </c>
      <c r="R33" s="12">
        <v>4.1471390299999999</v>
      </c>
      <c r="S33" s="12">
        <v>0.13844616600000001</v>
      </c>
      <c r="T33" s="12">
        <v>480.53666720000001</v>
      </c>
      <c r="U33" s="12">
        <v>0.1093987</v>
      </c>
      <c r="V33" s="12">
        <v>4.6508349999999997E-2</v>
      </c>
      <c r="W33" s="12">
        <v>4.2860125999999998E-2</v>
      </c>
      <c r="X33" s="12">
        <v>14.110264900000001</v>
      </c>
      <c r="Y33" s="12">
        <v>27.051947729999998</v>
      </c>
      <c r="Z33" s="12">
        <v>-173.16350420000001</v>
      </c>
      <c r="AA33" s="12">
        <v>11.329825019999999</v>
      </c>
      <c r="AB33" s="12">
        <v>21.653915309999999</v>
      </c>
      <c r="AC33" s="13">
        <v>-103.4422605</v>
      </c>
    </row>
    <row r="34" spans="1:30" s="2" customFormat="1" x14ac:dyDescent="0.2">
      <c r="A34" s="11" t="s">
        <v>30</v>
      </c>
      <c r="B34" s="12">
        <v>32</v>
      </c>
      <c r="C34" s="12">
        <v>5701</v>
      </c>
      <c r="D34" s="12" t="s">
        <v>32</v>
      </c>
      <c r="E34" s="12"/>
      <c r="F34" s="12">
        <v>12.95703541</v>
      </c>
      <c r="G34" s="12">
        <v>12.873810689999999</v>
      </c>
      <c r="H34" s="12">
        <v>4.9171340000000001E-3</v>
      </c>
      <c r="I34" s="12">
        <v>25.096228279999998</v>
      </c>
      <c r="J34" s="12">
        <v>24.78648939</v>
      </c>
      <c r="K34" s="12">
        <v>1.5227890000000001E-3</v>
      </c>
      <c r="L34" s="12">
        <v>-0.213455705</v>
      </c>
      <c r="M34" s="12">
        <v>5.0661509999999996E-3</v>
      </c>
      <c r="N34" s="12">
        <v>2.6299469590000002</v>
      </c>
      <c r="O34" s="12">
        <v>4.8670040000000003E-3</v>
      </c>
      <c r="P34" s="12">
        <v>4.7008019990000003</v>
      </c>
      <c r="Q34" s="12">
        <v>1.492492E-3</v>
      </c>
      <c r="R34" s="12">
        <v>5.6016457280000003</v>
      </c>
      <c r="S34" s="12">
        <v>0.14257346500000001</v>
      </c>
      <c r="T34" s="12">
        <v>431.87432910000001</v>
      </c>
      <c r="U34" s="12">
        <v>8.7661623999999994E-2</v>
      </c>
      <c r="V34" s="12">
        <v>4.5268216E-2</v>
      </c>
      <c r="W34" s="12">
        <v>5.0596676E-2</v>
      </c>
      <c r="X34" s="12">
        <v>14.66161022</v>
      </c>
      <c r="Y34" s="12">
        <v>28.079647569999999</v>
      </c>
      <c r="Z34" s="12">
        <v>-164.44370190000001</v>
      </c>
      <c r="AA34" s="12">
        <v>12.035228800000001</v>
      </c>
      <c r="AB34" s="12">
        <v>22.973392530000002</v>
      </c>
      <c r="AC34" s="13">
        <v>-94.722458169999996</v>
      </c>
      <c r="AD34" s="2">
        <f>STDEV(AC33:AC34)</f>
        <v>6.165831358149263</v>
      </c>
    </row>
    <row r="35" spans="1:30" s="2" customFormat="1" x14ac:dyDescent="0.2">
      <c r="A35" s="18" t="s">
        <v>82</v>
      </c>
      <c r="B35" s="19">
        <v>34</v>
      </c>
      <c r="C35" s="19">
        <v>5843</v>
      </c>
      <c r="D35" s="19" t="s">
        <v>66</v>
      </c>
      <c r="E35" s="19"/>
      <c r="F35" s="19">
        <v>12.24723433</v>
      </c>
      <c r="G35" s="19">
        <v>12.172843500000001</v>
      </c>
      <c r="H35" s="19">
        <v>3.4660609999999999E-3</v>
      </c>
      <c r="I35" s="19">
        <v>23.77035459</v>
      </c>
      <c r="J35" s="19">
        <v>23.492238310000001</v>
      </c>
      <c r="K35" s="19">
        <v>1.7589940000000001E-3</v>
      </c>
      <c r="L35" s="19">
        <v>-0.23105833000000001</v>
      </c>
      <c r="M35" s="19">
        <v>3.55025E-3</v>
      </c>
      <c r="N35" s="19">
        <v>1.9273822940000001</v>
      </c>
      <c r="O35" s="19">
        <v>3.43072E-3</v>
      </c>
      <c r="P35" s="19">
        <v>3.4013080360000001</v>
      </c>
      <c r="Q35" s="19">
        <v>1.7239969999999999E-3</v>
      </c>
      <c r="R35" s="19">
        <v>2.9212316550000001</v>
      </c>
      <c r="S35" s="19">
        <v>0.15069353299999999</v>
      </c>
      <c r="T35" s="19">
        <v>111.8237517</v>
      </c>
      <c r="U35" s="19">
        <v>5.1373413E-2</v>
      </c>
      <c r="V35" s="19">
        <v>2.893778E-2</v>
      </c>
      <c r="W35" s="19">
        <v>2.7369219E-2</v>
      </c>
      <c r="X35" s="19">
        <v>14.1715416690718</v>
      </c>
      <c r="Y35" s="19">
        <v>27.194127644454166</v>
      </c>
      <c r="Z35" s="19">
        <v>-186.95772720000116</v>
      </c>
      <c r="AA35" s="19">
        <v>9.9082668136063727</v>
      </c>
      <c r="AB35" s="19">
        <v>19.033217822083461</v>
      </c>
      <c r="AC35" s="20">
        <v>-126.13949675877763</v>
      </c>
    </row>
    <row r="36" spans="1:30" s="2" customFormat="1" x14ac:dyDescent="0.2">
      <c r="A36" s="18" t="s">
        <v>82</v>
      </c>
      <c r="B36" s="19">
        <v>34</v>
      </c>
      <c r="C36" s="19">
        <v>5850</v>
      </c>
      <c r="D36" s="19" t="s">
        <v>73</v>
      </c>
      <c r="E36" s="19"/>
      <c r="F36" s="19">
        <v>12.62788316</v>
      </c>
      <c r="G36" s="19">
        <v>12.548816110000001</v>
      </c>
      <c r="H36" s="19">
        <v>3.7514689999999999E-3</v>
      </c>
      <c r="I36" s="19">
        <v>24.459290889999998</v>
      </c>
      <c r="J36" s="19">
        <v>24.164952289999999</v>
      </c>
      <c r="K36" s="19">
        <v>1.348248E-3</v>
      </c>
      <c r="L36" s="19">
        <v>-0.21027869399999999</v>
      </c>
      <c r="M36" s="19">
        <v>3.7394699999999999E-3</v>
      </c>
      <c r="N36" s="19">
        <v>2.3041504129999999</v>
      </c>
      <c r="O36" s="19">
        <v>3.7132200000000001E-3</v>
      </c>
      <c r="P36" s="19">
        <v>4.0765371860000004</v>
      </c>
      <c r="Q36" s="19">
        <v>1.321423E-3</v>
      </c>
      <c r="R36" s="19">
        <v>3.5373503949999998</v>
      </c>
      <c r="S36" s="19">
        <v>0.18766585999999999</v>
      </c>
      <c r="T36" s="19">
        <v>327.54667280000001</v>
      </c>
      <c r="U36" s="19">
        <v>0.181078979</v>
      </c>
      <c r="V36" s="19">
        <v>2.9345216E-2</v>
      </c>
      <c r="W36" s="19">
        <v>3.0954058999999999E-2</v>
      </c>
      <c r="X36" s="19">
        <v>14.635111926124925</v>
      </c>
      <c r="Y36" s="19">
        <v>28.029770401751751</v>
      </c>
      <c r="Z36" s="19">
        <v>-164.60684599999985</v>
      </c>
      <c r="AA36" s="19">
        <v>10.371837070659685</v>
      </c>
      <c r="AB36" s="19">
        <v>19.868860579381167</v>
      </c>
      <c r="AC36" s="20">
        <v>-103.78861555865379</v>
      </c>
      <c r="AD36" s="2">
        <f>STDEV(AC35:AC36)</f>
        <v>15.804459662102484</v>
      </c>
    </row>
    <row r="37" spans="1:30" s="2" customFormat="1" x14ac:dyDescent="0.2">
      <c r="A37" s="18" t="s">
        <v>84</v>
      </c>
      <c r="B37" s="19">
        <v>34</v>
      </c>
      <c r="C37" s="19">
        <v>5845</v>
      </c>
      <c r="D37" s="19" t="s">
        <v>68</v>
      </c>
      <c r="E37" s="19"/>
      <c r="F37" s="19">
        <v>13.22176713</v>
      </c>
      <c r="G37" s="19">
        <v>13.13512205</v>
      </c>
      <c r="H37" s="19">
        <v>4.6535550000000002E-3</v>
      </c>
      <c r="I37" s="19">
        <v>25.573652880000001</v>
      </c>
      <c r="J37" s="19">
        <v>25.252117299999998</v>
      </c>
      <c r="K37" s="19">
        <v>2.0551179999999999E-3</v>
      </c>
      <c r="L37" s="19">
        <v>-0.19799588700000001</v>
      </c>
      <c r="M37" s="19">
        <v>4.8209769999999997E-3</v>
      </c>
      <c r="N37" s="19">
        <v>2.8919797370000002</v>
      </c>
      <c r="O37" s="19">
        <v>4.6061100000000001E-3</v>
      </c>
      <c r="P37" s="19">
        <v>5.1687277040000001</v>
      </c>
      <c r="Q37" s="19">
        <v>2.0142290000000002E-3</v>
      </c>
      <c r="R37" s="19">
        <v>6.4805646650000002</v>
      </c>
      <c r="S37" s="19">
        <v>0.123264258</v>
      </c>
      <c r="T37" s="19">
        <v>125.11444539999999</v>
      </c>
      <c r="U37" s="19">
        <v>5.1112548000000001E-2</v>
      </c>
      <c r="V37" s="19">
        <v>2.7311014000000002E-2</v>
      </c>
      <c r="W37" s="19">
        <v>3.1280597E-2</v>
      </c>
      <c r="X37" s="19">
        <v>15.361994828308244</v>
      </c>
      <c r="Y37" s="19">
        <v>29.380190668765614</v>
      </c>
      <c r="Z37" s="19">
        <v>-150.74584480000118</v>
      </c>
      <c r="AA37" s="19">
        <v>11.098719972843126</v>
      </c>
      <c r="AB37" s="19">
        <v>21.219280846394909</v>
      </c>
      <c r="AC37" s="20">
        <v>-89.927614358468588</v>
      </c>
      <c r="AD37" s="2" t="s">
        <v>97</v>
      </c>
    </row>
    <row r="38" spans="1:30" s="2" customFormat="1" x14ac:dyDescent="0.2">
      <c r="A38" s="18" t="s">
        <v>76</v>
      </c>
      <c r="B38" s="19">
        <v>34</v>
      </c>
      <c r="C38" s="19">
        <v>5830</v>
      </c>
      <c r="D38" s="19" t="s">
        <v>57</v>
      </c>
      <c r="E38" s="19"/>
      <c r="F38" s="19">
        <v>11.13907728</v>
      </c>
      <c r="G38" s="19">
        <v>11.077491090000001</v>
      </c>
      <c r="H38" s="19">
        <v>1.4232355E-2</v>
      </c>
      <c r="I38" s="19">
        <v>21.46052156</v>
      </c>
      <c r="J38" s="19">
        <v>21.23348648</v>
      </c>
      <c r="K38" s="19">
        <v>5.5158120000000001E-3</v>
      </c>
      <c r="L38" s="19">
        <v>-0.14205465</v>
      </c>
      <c r="M38" s="19">
        <v>1.3977689999999999E-2</v>
      </c>
      <c r="N38" s="19">
        <v>0.81752345999999998</v>
      </c>
      <c r="O38" s="19">
        <v>1.510451E-2</v>
      </c>
      <c r="P38" s="19">
        <v>1.1361293079999999</v>
      </c>
      <c r="Q38" s="19">
        <v>5.4206649999999999E-3</v>
      </c>
      <c r="R38" s="19">
        <v>11.702472090000001</v>
      </c>
      <c r="S38" s="19">
        <v>0.512205295</v>
      </c>
      <c r="T38" s="19">
        <v>724.63862940000001</v>
      </c>
      <c r="U38" s="19">
        <v>0.26849542700000001</v>
      </c>
      <c r="V38" s="19">
        <v>9.7715005999999993E-2</v>
      </c>
      <c r="W38" s="19">
        <v>9.7565911000000005E-2</v>
      </c>
      <c r="X38" s="19">
        <v>12.77591116130734</v>
      </c>
      <c r="Y38" s="19">
        <v>24.386518825203293</v>
      </c>
      <c r="Z38" s="19">
        <v>-100.17077839999899</v>
      </c>
      <c r="AA38" s="19">
        <v>8.5126363058421237</v>
      </c>
      <c r="AB38" s="19">
        <v>16.225609002832375</v>
      </c>
      <c r="AC38" s="20">
        <v>-39.352547958453961</v>
      </c>
      <c r="AD38" s="2" t="s">
        <v>97</v>
      </c>
    </row>
    <row r="39" spans="1:30" s="2" customFormat="1" x14ac:dyDescent="0.2">
      <c r="A39" s="18" t="s">
        <v>83</v>
      </c>
      <c r="B39" s="19">
        <v>34</v>
      </c>
      <c r="C39" s="19">
        <v>5844</v>
      </c>
      <c r="D39" s="19" t="s">
        <v>67</v>
      </c>
      <c r="E39" s="19"/>
      <c r="F39" s="19">
        <v>11.656256470000001</v>
      </c>
      <c r="G39" s="19">
        <v>11.588845389999999</v>
      </c>
      <c r="H39" s="19">
        <v>3.7076119999999999E-3</v>
      </c>
      <c r="I39" s="19">
        <v>22.66083622</v>
      </c>
      <c r="J39" s="19">
        <v>22.407893529999999</v>
      </c>
      <c r="K39" s="19">
        <v>1.8932020000000001E-3</v>
      </c>
      <c r="L39" s="19">
        <v>-0.2425224</v>
      </c>
      <c r="M39" s="19">
        <v>3.6194780000000002E-3</v>
      </c>
      <c r="N39" s="19">
        <v>1.3424294489999999</v>
      </c>
      <c r="O39" s="19">
        <v>3.6698099999999999E-3</v>
      </c>
      <c r="P39" s="19">
        <v>2.3138647649999999</v>
      </c>
      <c r="Q39" s="19">
        <v>1.855534E-3</v>
      </c>
      <c r="R39" s="19">
        <v>2.1892764210000002</v>
      </c>
      <c r="S39" s="19">
        <v>0.14729463800000001</v>
      </c>
      <c r="T39" s="19">
        <v>126.238759</v>
      </c>
      <c r="U39" s="19">
        <v>7.1044257E-2</v>
      </c>
      <c r="V39" s="19">
        <v>6.621984E-3</v>
      </c>
      <c r="W39" s="19">
        <v>6.1595699999999996E-3</v>
      </c>
      <c r="X39" s="19">
        <v>13.447331807980905</v>
      </c>
      <c r="Y39" s="19">
        <v>25.84710685829717</v>
      </c>
      <c r="Z39" s="19">
        <v>-199.94061320000077</v>
      </c>
      <c r="AA39" s="19">
        <v>9.1840569525156663</v>
      </c>
      <c r="AB39" s="19">
        <v>17.686197035926366</v>
      </c>
      <c r="AC39" s="20">
        <v>-139.12238275853744</v>
      </c>
      <c r="AD39" s="2" t="s">
        <v>97</v>
      </c>
    </row>
    <row r="40" spans="1:30" s="2" customFormat="1" x14ac:dyDescent="0.2">
      <c r="A40" s="18" t="s">
        <v>78</v>
      </c>
      <c r="B40" s="19">
        <v>34</v>
      </c>
      <c r="C40" s="19">
        <v>5832</v>
      </c>
      <c r="D40" s="19" t="s">
        <v>59</v>
      </c>
      <c r="E40" s="19"/>
      <c r="F40" s="19">
        <v>13.523831879999999</v>
      </c>
      <c r="G40" s="19">
        <v>13.433200660000001</v>
      </c>
      <c r="H40" s="19">
        <v>4.660094E-3</v>
      </c>
      <c r="I40" s="19">
        <v>26.129655270000001</v>
      </c>
      <c r="J40" s="19">
        <v>25.794108340000001</v>
      </c>
      <c r="K40" s="19">
        <v>2.1008989999999998E-3</v>
      </c>
      <c r="L40" s="19">
        <v>-0.18608854999999999</v>
      </c>
      <c r="M40" s="19">
        <v>4.9763740000000004E-3</v>
      </c>
      <c r="N40" s="19">
        <v>3.1909649409999998</v>
      </c>
      <c r="O40" s="19">
        <v>4.6125799999999998E-3</v>
      </c>
      <c r="P40" s="19">
        <v>5.7136678170000001</v>
      </c>
      <c r="Q40" s="19">
        <v>2.059099E-3</v>
      </c>
      <c r="R40" s="19">
        <v>7.6992325189999997</v>
      </c>
      <c r="S40" s="19">
        <v>0.13818629800000001</v>
      </c>
      <c r="T40" s="19">
        <v>96.360177440000001</v>
      </c>
      <c r="U40" s="19">
        <v>6.1510450000000001E-2</v>
      </c>
      <c r="V40" s="19">
        <v>4.3105982000000001E-2</v>
      </c>
      <c r="W40" s="19">
        <v>4.9662941000000002E-2</v>
      </c>
      <c r="X40" s="19">
        <v>15.730411246927103</v>
      </c>
      <c r="Y40" s="19">
        <v>30.053399861604362</v>
      </c>
      <c r="Z40" s="19">
        <v>-137.78388000000064</v>
      </c>
      <c r="AA40" s="19">
        <v>11.467136391462052</v>
      </c>
      <c r="AB40" s="19">
        <v>21.892490039233579</v>
      </c>
      <c r="AC40" s="20">
        <v>-76.965649558361463</v>
      </c>
    </row>
    <row r="41" spans="1:30" s="2" customFormat="1" x14ac:dyDescent="0.2">
      <c r="A41" s="18" t="s">
        <v>78</v>
      </c>
      <c r="B41" s="19">
        <v>34</v>
      </c>
      <c r="C41" s="19">
        <v>5837</v>
      </c>
      <c r="D41" s="19" t="s">
        <v>62</v>
      </c>
      <c r="E41" s="19"/>
      <c r="F41" s="19">
        <v>13.483360060000001</v>
      </c>
      <c r="G41" s="19">
        <v>13.39326814</v>
      </c>
      <c r="H41" s="19">
        <v>4.2515610000000001E-3</v>
      </c>
      <c r="I41" s="19">
        <v>26.09062793</v>
      </c>
      <c r="J41" s="19">
        <v>25.75607411</v>
      </c>
      <c r="K41" s="19">
        <v>1.5873949999999999E-3</v>
      </c>
      <c r="L41" s="19">
        <v>-0.20593899600000001</v>
      </c>
      <c r="M41" s="19">
        <v>4.3194840000000002E-3</v>
      </c>
      <c r="N41" s="19">
        <v>3.1509057280000001</v>
      </c>
      <c r="O41" s="19">
        <v>4.2082200000000004E-3</v>
      </c>
      <c r="P41" s="19">
        <v>5.6754169619999999</v>
      </c>
      <c r="Q41" s="19">
        <v>1.555812E-3</v>
      </c>
      <c r="R41" s="19">
        <v>7.6508551819999999</v>
      </c>
      <c r="S41" s="19">
        <v>0.13244903099999999</v>
      </c>
      <c r="T41" s="19">
        <v>106.2398745</v>
      </c>
      <c r="U41" s="19">
        <v>5.6954235999999998E-2</v>
      </c>
      <c r="V41" s="19">
        <v>9.1700000000000006E-5</v>
      </c>
      <c r="W41" s="19">
        <v>6.5400000000000004E-5</v>
      </c>
      <c r="X41" s="19">
        <v>15.684677122881489</v>
      </c>
      <c r="Y41" s="19">
        <v>30.006157954699788</v>
      </c>
      <c r="Z41" s="19">
        <v>-158.57427719999961</v>
      </c>
      <c r="AA41" s="19">
        <v>11.421402267416328</v>
      </c>
      <c r="AB41" s="19">
        <v>21.845248132329068</v>
      </c>
      <c r="AC41" s="20">
        <v>-97.756046758504311</v>
      </c>
      <c r="AD41" s="2">
        <f>STDEV(AC40:AC41)</f>
        <v>14.701030843782844</v>
      </c>
    </row>
    <row r="42" spans="1:30" s="2" customFormat="1" x14ac:dyDescent="0.2">
      <c r="A42" s="21" t="s">
        <v>80</v>
      </c>
      <c r="B42" s="22">
        <v>34</v>
      </c>
      <c r="C42" s="22">
        <v>5841</v>
      </c>
      <c r="D42" s="22" t="s">
        <v>64</v>
      </c>
      <c r="E42" s="22"/>
      <c r="F42" s="22">
        <v>9.2741750080000003</v>
      </c>
      <c r="G42" s="22">
        <v>9.2314304880000009</v>
      </c>
      <c r="H42" s="22">
        <v>1.3711744999999999E-2</v>
      </c>
      <c r="I42" s="22">
        <v>18.094298200000001</v>
      </c>
      <c r="J42" s="22">
        <v>17.932544140000001</v>
      </c>
      <c r="K42" s="22">
        <v>5.5476529999999996E-3</v>
      </c>
      <c r="L42" s="22">
        <v>-0.245634398</v>
      </c>
      <c r="M42" s="22">
        <v>1.2946549E-2</v>
      </c>
      <c r="N42" s="22">
        <v>-1.021633419</v>
      </c>
      <c r="O42" s="22">
        <v>1.373686E-2</v>
      </c>
      <c r="P42" s="22">
        <v>-2.1618169150000002</v>
      </c>
      <c r="Q42" s="22">
        <v>5.4372759999999996E-3</v>
      </c>
      <c r="R42" s="22">
        <v>-5.1395988060000004</v>
      </c>
      <c r="S42" s="22">
        <v>0.46764392500000002</v>
      </c>
      <c r="T42" s="22">
        <v>688.8491573</v>
      </c>
      <c r="U42" s="22">
        <v>0.23903875899999999</v>
      </c>
      <c r="V42" s="22">
        <v>0.14020761200000001</v>
      </c>
      <c r="W42" s="22">
        <v>0.14007328499999999</v>
      </c>
      <c r="X42" s="22">
        <v>10.506861783669603</v>
      </c>
      <c r="Y42" s="22">
        <v>20.286952217556063</v>
      </c>
      <c r="Z42" s="22">
        <v>-204.6489871999988</v>
      </c>
      <c r="AA42" s="22">
        <v>6.2435869282043583</v>
      </c>
      <c r="AB42" s="22">
        <v>12.126042395185266</v>
      </c>
      <c r="AC42" s="23">
        <v>-143.83075675854525</v>
      </c>
      <c r="AD42" s="2" t="s">
        <v>97</v>
      </c>
    </row>
    <row r="51" spans="32:33" x14ac:dyDescent="0.2">
      <c r="AF51">
        <v>4.2678042132986596</v>
      </c>
    </row>
    <row r="53" spans="32:33" x14ac:dyDescent="0.2">
      <c r="AG53">
        <v>20.244281777328212</v>
      </c>
    </row>
    <row r="55" spans="32:33" x14ac:dyDescent="0.2">
      <c r="AG55">
        <v>48.935957513269329</v>
      </c>
    </row>
    <row r="57" spans="32:33" x14ac:dyDescent="0.2">
      <c r="AF57">
        <v>9.7989736831162251</v>
      </c>
    </row>
    <row r="59" spans="32:33" x14ac:dyDescent="0.2">
      <c r="AF59">
        <v>3.9022348864620096</v>
      </c>
    </row>
    <row r="61" spans="32:33" x14ac:dyDescent="0.2">
      <c r="AF61">
        <v>0.45586683687880708</v>
      </c>
    </row>
    <row r="63" spans="32:33" x14ac:dyDescent="0.2">
      <c r="AF63">
        <v>13.504024892784683</v>
      </c>
    </row>
    <row r="65" spans="32:32" x14ac:dyDescent="0.2">
      <c r="AF65">
        <v>1.3864301348587529</v>
      </c>
    </row>
    <row r="67" spans="32:32" x14ac:dyDescent="0.2">
      <c r="AF67">
        <v>8.4976014371085373</v>
      </c>
    </row>
    <row r="69" spans="32:32" x14ac:dyDescent="0.2">
      <c r="AF69">
        <v>5.1618152973813807</v>
      </c>
    </row>
    <row r="72" spans="32:32" x14ac:dyDescent="0.2">
      <c r="AF72">
        <v>15.087429875501337</v>
      </c>
    </row>
    <row r="74" spans="32:32" x14ac:dyDescent="0.2">
      <c r="AF74">
        <v>4.8906522917863624</v>
      </c>
    </row>
    <row r="76" spans="32:32" x14ac:dyDescent="0.2">
      <c r="AF76">
        <v>0.20639485280587988</v>
      </c>
    </row>
    <row r="79" spans="32:32" x14ac:dyDescent="0.2">
      <c r="AF79">
        <v>0.6135462585608249</v>
      </c>
    </row>
    <row r="81" spans="32:32" x14ac:dyDescent="0.2">
      <c r="AF81">
        <v>6.165831358149263</v>
      </c>
    </row>
    <row r="83" spans="32:32" x14ac:dyDescent="0.2">
      <c r="AF83">
        <v>15.804459662102484</v>
      </c>
    </row>
    <row r="88" spans="32:32" x14ac:dyDescent="0.2">
      <c r="AF88">
        <v>14.701030843782844</v>
      </c>
    </row>
    <row r="90" spans="32:32" x14ac:dyDescent="0.2">
      <c r="AF90">
        <f>AVERAGE(AF51:AF88)</f>
        <v>6.9629397683052048</v>
      </c>
    </row>
  </sheetData>
  <dataConsolidate/>
  <dataValidations disablePrompts="1" count="1">
    <dataValidation type="list" allowBlank="1" showInputMessage="1" showErrorMessage="1" sqref="C47" xr:uid="{B03F8DE8-C08A-4A49-A363-8A686D865691}">
      <formula1>Type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all_data_PaleogeneBHB_IPL17O_st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Allen</dc:creator>
  <cp:lastModifiedBy>Matthew Allen</cp:lastModifiedBy>
  <dcterms:created xsi:type="dcterms:W3CDTF">2025-10-14T14:09:31Z</dcterms:created>
  <dcterms:modified xsi:type="dcterms:W3CDTF">2026-04-23T13:44:21Z</dcterms:modified>
</cp:coreProperties>
</file>
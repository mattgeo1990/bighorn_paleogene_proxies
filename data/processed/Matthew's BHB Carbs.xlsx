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-isopaleo\Desktop\"/>
    </mc:Choice>
  </mc:AlternateContent>
  <xr:revisionPtr revIDLastSave="0" documentId="13_ncr:1_{0D67E89A-94CC-4E46-8867-59BF5318FF5D}" xr6:coauthVersionLast="47" xr6:coauthVersionMax="47" xr10:uidLastSave="{00000000-0000-0000-0000-000000000000}"/>
  <bookViews>
    <workbookView xWindow="-120" yWindow="-120" windowWidth="29040" windowHeight="15720" xr2:uid="{4EBF7638-5BA7-4C0E-A384-08AE528418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0" i="1" l="1"/>
  <c r="AL60" i="1"/>
  <c r="AL58" i="1"/>
  <c r="AM58" i="1"/>
  <c r="AM55" i="1"/>
  <c r="AL55" i="1"/>
  <c r="AM53" i="1"/>
  <c r="AL53" i="1"/>
  <c r="AM51" i="1"/>
  <c r="AL51" i="1"/>
  <c r="AM49" i="1"/>
  <c r="AL49" i="1"/>
  <c r="AM73" i="1"/>
  <c r="AL73" i="1"/>
  <c r="AM67" i="1"/>
  <c r="AL67" i="1"/>
  <c r="AM70" i="1"/>
  <c r="AL70" i="1"/>
  <c r="AM17" i="1"/>
  <c r="AL17" i="1"/>
  <c r="AM45" i="1"/>
  <c r="AL45" i="1"/>
  <c r="AL42" i="1"/>
  <c r="AM40" i="1"/>
  <c r="AL40" i="1"/>
  <c r="AM38" i="1"/>
  <c r="AL38" i="1"/>
  <c r="AL35" i="1"/>
  <c r="AL33" i="1"/>
  <c r="AM30" i="1"/>
  <c r="AL30" i="1"/>
  <c r="AM5" i="1"/>
  <c r="AL5" i="1"/>
  <c r="AL10" i="1"/>
  <c r="AM10" i="1"/>
  <c r="AM9" i="1"/>
  <c r="AL9" i="1"/>
  <c r="AM42" i="1"/>
  <c r="AL28" i="1"/>
  <c r="AM37" i="1"/>
  <c r="AM44" i="1"/>
  <c r="AL44" i="1"/>
  <c r="AM22" i="1"/>
  <c r="AM28" i="1"/>
  <c r="AM33" i="1"/>
  <c r="AL22" i="1"/>
  <c r="AM14" i="1"/>
  <c r="AL14" i="1"/>
  <c r="AM12" i="1"/>
  <c r="AM25" i="1"/>
  <c r="AM20" i="1"/>
  <c r="AM8" i="1"/>
  <c r="AL12" i="1"/>
  <c r="AL8" i="1"/>
  <c r="AM35" i="1"/>
  <c r="AM3" i="1"/>
  <c r="AL37" i="1"/>
  <c r="AL25" i="1"/>
  <c r="AL20" i="1"/>
  <c r="AL3" i="1"/>
</calcChain>
</file>

<file path=xl/sharedStrings.xml><?xml version="1.0" encoding="utf-8"?>
<sst xmlns="http://schemas.openxmlformats.org/spreadsheetml/2006/main" count="524" uniqueCount="238">
  <si>
    <t>'Sample'</t>
  </si>
  <si>
    <t>'Matthew''s BHB Carbs'</t>
  </si>
  <si>
    <t>'wmn'</t>
  </si>
  <si>
    <t>'include'</t>
  </si>
  <si>
    <t>'PK95-SC-187-01'</t>
  </si>
  <si>
    <t>'IPL-CI-4610 PK95-SC-187-01'</t>
  </si>
  <si>
    <t>'1/9/2026 2:51:19 PM'</t>
  </si>
  <si>
    <t>'mla'</t>
  </si>
  <si>
    <t>'PK95-SC-185-01'</t>
  </si>
  <si>
    <t>'IPL-CI-4611 PK95-SC-185-01'</t>
  </si>
  <si>
    <t>'1/10/2026 2:46:42 PM'</t>
  </si>
  <si>
    <t>'PK95-SC-176-01'</t>
  </si>
  <si>
    <t>'IPL-CI-4615 PK95-SC-176-01'</t>
  </si>
  <si>
    <t>'1/12/2026 1:58:39 PM'</t>
  </si>
  <si>
    <t>'euf'</t>
  </si>
  <si>
    <t>'PK95-SC-279-01'</t>
  </si>
  <si>
    <t>'IPL-CI-4620 PK95-SC-279-01'</t>
  </si>
  <si>
    <t>'1/14/2026 3:10:08 PM'</t>
  </si>
  <si>
    <t>'PK95-SC-165-01'</t>
  </si>
  <si>
    <t>'IPL-CI-4621 PK95-SC-165-01'</t>
  </si>
  <si>
    <t>'1/14/2026 5:44:01 PM'</t>
  </si>
  <si>
    <t>'PK95-SC-185-02'</t>
  </si>
  <si>
    <t>'IPL-CI-4695 PK95-SC-185-02'</t>
  </si>
  <si>
    <t>'2/13/2026 4:06:12 PM'</t>
  </si>
  <si>
    <t>'mam'</t>
  </si>
  <si>
    <t>'PK95-SC-27-01'</t>
  </si>
  <si>
    <t>'IPL-CI-4696 PK95-SC-27-01'</t>
  </si>
  <si>
    <t>'2/14/2026 8:37:10 PM'</t>
  </si>
  <si>
    <t>'PK95-SC-50-01'</t>
  </si>
  <si>
    <t>'IPL-CI-4699 PK95-SC-50-01'</t>
  </si>
  <si>
    <t>'2/16/2026 11:38:04 AM'</t>
  </si>
  <si>
    <t>'PK95-SC-118up-01'</t>
  </si>
  <si>
    <t>'IPL-CI-4700 PK95-SC-118up-01'</t>
  </si>
  <si>
    <t>'2/16/2026 2:06:32 PM'</t>
  </si>
  <si>
    <t>'PK95-SC-23-01'</t>
  </si>
  <si>
    <t>'IPL-CI-4702 PK95-SC-23-01'</t>
  </si>
  <si>
    <t>'2/17/2026 9:36:55 AM'</t>
  </si>
  <si>
    <t>'PK95-SC-246-01'</t>
  </si>
  <si>
    <t>'IPL-CI-4703 PK95-SC-246-01'</t>
  </si>
  <si>
    <t>'2/17/2026 12:32:22 PM'</t>
  </si>
  <si>
    <t>'PK95-SC-80-n-2-01'</t>
  </si>
  <si>
    <t>'IPL-CI-4705 PK95-SC-80-n-2-01'</t>
  </si>
  <si>
    <t>'2/17/2026 5:31:59 PM'</t>
  </si>
  <si>
    <t>'PK95-SC-179-02'</t>
  </si>
  <si>
    <t>'IPL-CI-4706 PK95-SC-179-02'</t>
  </si>
  <si>
    <t>'2/18/2026 9:08:43 AM'</t>
  </si>
  <si>
    <t>'PK95-SC-279-02'</t>
  </si>
  <si>
    <t>'IPL-CI-4709 PK95-SC-279-02'</t>
  </si>
  <si>
    <t>'2/18/2026 4:21:46 PM'</t>
  </si>
  <si>
    <t>'IPL-CI-4710 PK95-SC-165-02'</t>
  </si>
  <si>
    <t>'2/19/2026 9:52:33 AM'</t>
  </si>
  <si>
    <t>'PK95-SC-23-02'</t>
  </si>
  <si>
    <t>'IPL-CI-4741 PK95-SC-23-02'</t>
  </si>
  <si>
    <t>'2/26/2026 11:50:57 AM'</t>
  </si>
  <si>
    <t>'PK95-SC-27-02'</t>
  </si>
  <si>
    <t>'IPL-CI-4743 PK95-SC-27-02'</t>
  </si>
  <si>
    <t>'2/26/2026 4:53:24 PM'</t>
  </si>
  <si>
    <t>'PK95-SC-185-03'</t>
  </si>
  <si>
    <t>'IPL-CI-4744 PK95-SC-185-03'</t>
  </si>
  <si>
    <t>'2/27/2026 8:51:23 AM'</t>
  </si>
  <si>
    <t>'PK95-SC-50-02'</t>
  </si>
  <si>
    <t>'IPL-CI-4746 PK95-SC-50-02'</t>
  </si>
  <si>
    <t>'2/27/2026 3:39:04 PM'</t>
  </si>
  <si>
    <t>'PK95-SC-165-03'</t>
  </si>
  <si>
    <t>'IPL-CI-4747 PK95-SC-165-03'</t>
  </si>
  <si>
    <t>'2/28/2026 11:22:09 AM'</t>
  </si>
  <si>
    <t>'PK95-SC-23-03'</t>
  </si>
  <si>
    <t>'IPL-CI-4749 PK95-SC-23-03'</t>
  </si>
  <si>
    <t>'2/28/2026 7:40:06 PM'</t>
  </si>
  <si>
    <t>PK95-SC-165-02'</t>
  </si>
  <si>
    <t>'Order'</t>
  </si>
  <si>
    <t>'Type1'</t>
  </si>
  <si>
    <t>'Type2'</t>
  </si>
  <si>
    <t>'User'</t>
  </si>
  <si>
    <t>'Status'</t>
  </si>
  <si>
    <t>'SampleID'</t>
  </si>
  <si>
    <t>'AnalyID'</t>
  </si>
  <si>
    <t>'Date_Time'</t>
  </si>
  <si>
    <t>'AcidTemp'</t>
  </si>
  <si>
    <t>'d13CPDBraw'</t>
  </si>
  <si>
    <t>'d18OPDBgasraw'</t>
  </si>
  <si>
    <t>'d45vref'</t>
  </si>
  <si>
    <t>'d46vref'</t>
  </si>
  <si>
    <t>'d47vref'</t>
  </si>
  <si>
    <t>'d48vref'</t>
  </si>
  <si>
    <t>'d9vref'</t>
  </si>
  <si>
    <t>'D49vref'</t>
  </si>
  <si>
    <t>'D47@d47=0'</t>
  </si>
  <si>
    <t>'D48@d487=0'</t>
  </si>
  <si>
    <t>'D49@d49=0'</t>
  </si>
  <si>
    <t>'d13CPDB'</t>
  </si>
  <si>
    <t>'d18OPDBmin'</t>
  </si>
  <si>
    <t>'D47_90 CDES'</t>
  </si>
  <si>
    <t>'D47_90 iCDES+'</t>
  </si>
  <si>
    <t>'D47_90_iCDES'</t>
  </si>
  <si>
    <t>'D48_90 CDES'</t>
  </si>
  <si>
    <t>'D48_90 iCDES+'</t>
  </si>
  <si>
    <t>'D48_90_iCDES'</t>
  </si>
  <si>
    <t>'D49_90 CDES'</t>
  </si>
  <si>
    <t>'D49_90 iCDES+'</t>
  </si>
  <si>
    <t>'T(D47)CDES'</t>
  </si>
  <si>
    <t>'TD47iCDES+'</t>
  </si>
  <si>
    <t>'T(D47)iCDES'</t>
  </si>
  <si>
    <t>'PK95-SC-80-n-1-01'</t>
  </si>
  <si>
    <t>'3/5/2026 12:30:40 PM'</t>
  </si>
  <si>
    <t>'PK95-SC-118up-02'</t>
  </si>
  <si>
    <t>'IPL-CI-4760 PK95-SC-118up-02'</t>
  </si>
  <si>
    <t>'3/6/2026 9:19:49 AM'</t>
  </si>
  <si>
    <t>'Order'2</t>
  </si>
  <si>
    <t>'D47vref'3</t>
  </si>
  <si>
    <t>'D48vref'4</t>
  </si>
  <si>
    <t>'D47_90_iCDES'5</t>
  </si>
  <si>
    <t>mean</t>
  </si>
  <si>
    <t>SE_1sigma</t>
  </si>
  <si>
    <t>'PK95-SC-92-01'</t>
  </si>
  <si>
    <t>'IPL-CI-4761 PK95-SC-92-01'</t>
  </si>
  <si>
    <t>'3/6/2026 11:50:30 AM'</t>
  </si>
  <si>
    <t>'PK95-SC-92-02'</t>
  </si>
  <si>
    <t>'IPL-CI-4763 PK95-SC-92-02'</t>
  </si>
  <si>
    <t>'3/6/2026 5:01:49 PM'</t>
  </si>
  <si>
    <t>'PK95-242-02'</t>
  </si>
  <si>
    <t>'IPL-CI-4764 PK95-242-02'</t>
  </si>
  <si>
    <t>'3/7/2026 1:29:52 PM'</t>
  </si>
  <si>
    <t>'PK95-SC-176-02'</t>
  </si>
  <si>
    <t>'IPL-CI-4766 PK95-SC-176-02'</t>
  </si>
  <si>
    <t>'3/7/2026 7:02:34 PM'</t>
  </si>
  <si>
    <t>'PK95-SC-179-03'</t>
  </si>
  <si>
    <t>'IPL-CI-4769 PK95-SC-179-03'</t>
  </si>
  <si>
    <t>'3/8/2026 6:05:01 PM'</t>
  </si>
  <si>
    <t>'PK95-SC-187-02'</t>
  </si>
  <si>
    <t>'3/10/2026 11:45:21 AM'</t>
  </si>
  <si>
    <t>'PK95-SC-27-03'</t>
  </si>
  <si>
    <t>'IPL-CI-4777 PK95-SC-27-03'</t>
  </si>
  <si>
    <t>'3/11/2026 10:12:01 AM'</t>
  </si>
  <si>
    <t>'PK95-SC-246-02'</t>
  </si>
  <si>
    <t>'IPL-CI-4778 PK95-SC-246-02'</t>
  </si>
  <si>
    <t>'3/11/2026 12:45:46 PM'</t>
  </si>
  <si>
    <t>'3/11/2026 3:25:52 PM'</t>
  </si>
  <si>
    <t>'PK95-SC-246-03'</t>
  </si>
  <si>
    <t>'IPL-CI-4780 PK95-SC-246-03'</t>
  </si>
  <si>
    <t>'3/12/2026 9:06:19 AM'</t>
  </si>
  <si>
    <t>IPL-CI-4775 PK95-SC-187-02'</t>
  </si>
  <si>
    <t>IPL-CI-4779 PK95-SC-80n-2-02'</t>
  </si>
  <si>
    <t>PK95-SC-80n-2-02'</t>
  </si>
  <si>
    <t>IPL-CI-4758 PK95-SC-80-n-1-01'</t>
  </si>
  <si>
    <t>'PK95-SC-165'</t>
  </si>
  <si>
    <t>'IPL-CI-4834 PK95-SC-165'</t>
  </si>
  <si>
    <t>'4/9/2026 11:55:27 AM'</t>
  </si>
  <si>
    <t>'IPL-CI-4836 PK95-SC-165'</t>
  </si>
  <si>
    <t>'4/9/2026 4:52:05 PM'</t>
  </si>
  <si>
    <t>'PK95-SC-118up'</t>
  </si>
  <si>
    <t>'IPL-CI-4837 PK95-SC-118up'</t>
  </si>
  <si>
    <t>'4/10/2026 9:03:31 AM'</t>
  </si>
  <si>
    <t>'IPL-CI-4839 PK95-SC-118up'</t>
  </si>
  <si>
    <t>'4/10/2026 2:10:15 PM'</t>
  </si>
  <si>
    <t>'PK95-SC-50'</t>
  </si>
  <si>
    <t>'IPL-CI-4842 PK95-SC-50'</t>
  </si>
  <si>
    <t>'4/13/2026 9:06:40 AM'</t>
  </si>
  <si>
    <t>'PK95-SC-92'</t>
  </si>
  <si>
    <t>'IPL-CI-4843 PK95-SC-92'</t>
  </si>
  <si>
    <t>'4/13/2026 11:35:38 AM'</t>
  </si>
  <si>
    <t>'PK95-SC-179'</t>
  </si>
  <si>
    <t>'IPL-CI-4850 PK95-SC-179'</t>
  </si>
  <si>
    <t>'4/14/2026 4:17:21 PM'</t>
  </si>
  <si>
    <t>'IPL-CI-4851 PK95-SC-179'</t>
  </si>
  <si>
    <t>'4/15/2026 10:46:39 AM'</t>
  </si>
  <si>
    <t>'IPL-CI-4852 PK95-SC-179'</t>
  </si>
  <si>
    <t>'4/16/2026 9:12:25 AM'</t>
  </si>
  <si>
    <t>'PK95-SC-80-n-1'</t>
  </si>
  <si>
    <t>'IPL-CI-4854 PK95-SC-80-n-1'</t>
  </si>
  <si>
    <t>'4/16/2026 2:12:31 PM'</t>
  </si>
  <si>
    <t>'PK95-SC-246'</t>
  </si>
  <si>
    <t>'IPL-CI-4857 PK95-SC-246'</t>
  </si>
  <si>
    <t>'4/17/2026 10:57:55 AM'</t>
  </si>
  <si>
    <t>'Matthew''s BHB Carbs 2'</t>
  </si>
  <si>
    <t>'IPL-CI-4859 PK95-SC-246'</t>
  </si>
  <si>
    <t>'4/17/2026 3:55:14 PM'</t>
  </si>
  <si>
    <t>Matthew''s BHB Carbs'</t>
  </si>
  <si>
    <t>'PB-00-03-08'</t>
  </si>
  <si>
    <t>'IPL-CI-4860 PB-00-03-08'</t>
  </si>
  <si>
    <t>'4/19/2026 2:59:20 PM'</t>
  </si>
  <si>
    <t>'IPL-CI-4862 PB-00-03-08'</t>
  </si>
  <si>
    <t>'4/20/2026 9:20:46 AM'</t>
  </si>
  <si>
    <t>'IPL-CI-4863 PB-00-03-08'</t>
  </si>
  <si>
    <t>'4/20/2026 11:49:47 AM'</t>
  </si>
  <si>
    <t>'PB-00-03-16'</t>
  </si>
  <si>
    <t>'IPL-CI-4865 PB-00-03-16'</t>
  </si>
  <si>
    <t>'4/20/2026 5:20:58 PM'</t>
  </si>
  <si>
    <t>'IPL-CI-4866 PB-00-03-16'</t>
  </si>
  <si>
    <t>'4/21/2026 4:42:44 PM'</t>
  </si>
  <si>
    <t>'IPL-CI-4868 PB-00-03-16'</t>
  </si>
  <si>
    <t>'4/22/2026 5:10:16 PM'</t>
  </si>
  <si>
    <t>'PB-00-04-16'</t>
  </si>
  <si>
    <t>'IPL-CI-4870 PB-00-04-16'</t>
  </si>
  <si>
    <t>'4/23/2026 9:02:18 AM'</t>
  </si>
  <si>
    <t>?????</t>
  </si>
  <si>
    <t>Column1</t>
  </si>
  <si>
    <t>'IPL-CI-4872 PB-00-04-16'</t>
  </si>
  <si>
    <t>'4/23/2026 2:01:22 PM'</t>
  </si>
  <si>
    <t>'IPL-CI-4873 PB-00-04-16'</t>
  </si>
  <si>
    <t>'4/23/2026 4:29:28 PM'</t>
  </si>
  <si>
    <t>'PK95-SC-43'</t>
  </si>
  <si>
    <t>'IPL-CI-4875 PK95-SC-43'</t>
  </si>
  <si>
    <t>'4/25/2026 8:11:15 AM'</t>
  </si>
  <si>
    <t>'IPL-CI-4876 PK95-SC-43'</t>
  </si>
  <si>
    <t>'4/25/2026 5:49:23 PM'</t>
  </si>
  <si>
    <t>'IPL-CI-4877 PK95-SC-43'</t>
  </si>
  <si>
    <t>'4/26/2026 3:28:16 PM'</t>
  </si>
  <si>
    <t>'PK95-SC-4'</t>
  </si>
  <si>
    <t>'IPL-CI-4878 PK95-SC-4'</t>
  </si>
  <si>
    <t>'4/27/2026 9:01:52 AM'</t>
  </si>
  <si>
    <t>'IPL-CI-4880 PK95-SC-4'</t>
  </si>
  <si>
    <t>'4/27/2026 4:27:05 PM'</t>
  </si>
  <si>
    <t>'PK95-SC-4-SPAR'</t>
  </si>
  <si>
    <t>'IPL-CI-4885 PK95-SC-4-SPAR'</t>
  </si>
  <si>
    <t>'4/30/2026 9:04:10 AM'</t>
  </si>
  <si>
    <t>'IPL-CI-4886 PK95-SC-4-SPAR'</t>
  </si>
  <si>
    <t>'4/30/2026 11:32:26 AM'</t>
  </si>
  <si>
    <t>'PK95-SC-22-SPAR'</t>
  </si>
  <si>
    <t>'IPL-CI-4887 PK95-SC-22-SPAR'</t>
  </si>
  <si>
    <t>'4/30/2026 4:29:26 PM'</t>
  </si>
  <si>
    <t>'IPL-CI-4888 PK95-SC-22-SPAR'</t>
  </si>
  <si>
    <t>'5/1/2026 8:52:24 AM'</t>
  </si>
  <si>
    <t>'PK95-SC-27'</t>
  </si>
  <si>
    <t>'IPL-CI-4890 PK95-SC-27'</t>
  </si>
  <si>
    <t>'5/1/2026 1:49:33 PM'</t>
  </si>
  <si>
    <t>'IPL-CI-4891 PK95-SC-27'</t>
  </si>
  <si>
    <t>'5/4/2026 8:56:43 AM'</t>
  </si>
  <si>
    <t>'IPL-CI-4892 PK95-SC-27'</t>
  </si>
  <si>
    <t>'5/4/2026 1:53:39 PM'</t>
  </si>
  <si>
    <t>'PK95-SC-133'</t>
  </si>
  <si>
    <t>'IPL-CI-4893 PK95-SC-133'</t>
  </si>
  <si>
    <t>'5/4/2026 4:22:15 PM'</t>
  </si>
  <si>
    <t>'IPL-CI-4895 PK95-SC-133'</t>
  </si>
  <si>
    <t>'5/6/2026 10:37:02 AM'</t>
  </si>
  <si>
    <t>'PB-00-04-14'</t>
  </si>
  <si>
    <t>'IPL-CI-4896 PB-00-04-14'</t>
  </si>
  <si>
    <t>'5/7/2026 8:46:14 AM'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</si>
</sst>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9" tint="-0.249977111117893"/>
      <name val="Arial Unicode MS"/>
    </font>
    <font>
      <b/>
      <sz val="11"/>
      <color theme="9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0" xfId="0" quotePrefix="1" applyFill="1"/>
    <xf numFmtId="0" fontId="0" fillId="3" borderId="0" xfId="0" applyFill="1"/>
    <xf numFmtId="0" fontId="0" fillId="4" borderId="0" xfId="0" applyFill="1"/>
    <xf numFmtId="0" fontId="0" fillId="4" borderId="0" xfId="0" quotePrefix="1" applyFill="1"/>
    <xf numFmtId="11" fontId="0" fillId="0" borderId="0" xfId="0" applyNumberFormat="1"/>
    <xf numFmtId="0" fontId="0" fillId="5" borderId="0" xfId="0" applyFill="1"/>
    <xf numFmtId="0" fontId="0" fillId="5" borderId="0" xfId="0" quotePrefix="1" applyFill="1"/>
    <xf numFmtId="0" fontId="0" fillId="3" borderId="0" xfId="0" quotePrefix="1" applyFill="1"/>
    <xf numFmtId="0" fontId="1" fillId="5" borderId="0" xfId="0" applyFont="1" applyFill="1"/>
    <xf numFmtId="0" fontId="1" fillId="0" borderId="0" xfId="0" applyFont="1"/>
    <xf numFmtId="0" fontId="0" fillId="0" borderId="0" xfId="0" applyFill="1"/>
    <xf numFmtId="0" fontId="2" fillId="3" borderId="0" xfId="0" applyFont="1" applyFill="1"/>
    <xf numFmtId="0" fontId="2" fillId="5" borderId="0" xfId="0" applyFont="1" applyFill="1"/>
    <xf numFmtId="0" fontId="3" fillId="4" borderId="0" xfId="0" quotePrefix="1" applyFont="1" applyFill="1"/>
    <xf numFmtId="0" fontId="3" fillId="3" borderId="0" xfId="0" applyFont="1" applyFill="1"/>
    <xf numFmtId="0" fontId="3" fillId="5" borderId="0" xfId="0" applyFont="1" applyFill="1"/>
    <xf numFmtId="0" fontId="3" fillId="0" borderId="0" xfId="0" applyFont="1" applyFill="1"/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2">
    <dxf>
      <font>
        <b/>
        <strike val="0"/>
        <outline val="0"/>
        <shadow val="0"/>
        <u val="none"/>
        <vertAlign val="baseline"/>
        <color theme="9" tint="-0.249977111117893"/>
      </font>
    </dxf>
    <dxf>
      <fill>
        <patternFill patternType="solid">
          <fgColor indexed="64"/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3FC36-9425-4B86-A840-07D975625D5F}" name="Table1" displayName="Table1" ref="A1:AN353" totalsRowShown="0" headerRowDxfId="1">
  <autoFilter ref="A1:AN353" xr:uid="{9E33FC36-9425-4B86-A840-07D975625D5F}"/>
  <sortState xmlns:xlrd2="http://schemas.microsoft.com/office/spreadsheetml/2017/richdata2" ref="A2:AL320">
    <sortCondition ref="F1:F353"/>
  </sortState>
  <tableColumns count="40">
    <tableColumn id="1" xr3:uid="{49AC8533-C4C8-4281-BEB2-29B053F033B5}" name="'Order'"/>
    <tableColumn id="2" xr3:uid="{38253FF5-700F-4D27-B556-1DA6325AF5D1}" name="'Type1'"/>
    <tableColumn id="3" xr3:uid="{977F6F22-0CA0-4A4C-9D87-23B01983ED60}" name="'Type2'"/>
    <tableColumn id="4" xr3:uid="{80985622-4CA5-41A2-A18E-3342B1A3A076}" name="'User'"/>
    <tableColumn id="5" xr3:uid="{252FDC41-8E0D-4CAC-9E71-27600FC8151A}" name="'Status'"/>
    <tableColumn id="6" xr3:uid="{CE7EA144-85EA-494C-85CD-621ED1BE55EA}" name="'SampleID'"/>
    <tableColumn id="7" xr3:uid="{EB4B77A9-1413-4984-B6C2-6AFA008C8ABC}" name="'AnalyID'"/>
    <tableColumn id="8" xr3:uid="{8CB7302D-2C41-4D10-88FB-5AEB3576ED52}" name="'Order'2"/>
    <tableColumn id="9" xr3:uid="{868FF056-6BAA-440F-A8AD-2A5E5E8C38E5}" name="'Date_Time'"/>
    <tableColumn id="10" xr3:uid="{757DAB66-7984-4D0A-8752-EA3EE6AE59D2}" name="'AcidTemp'"/>
    <tableColumn id="11" xr3:uid="{8069CD68-E36F-4D0D-94C8-583036C7185D}" name="'d13CPDBraw'"/>
    <tableColumn id="12" xr3:uid="{DD8A43EB-DA43-460F-9AE7-0258DCE3D4D5}" name="'d18OPDBgasraw'"/>
    <tableColumn id="13" xr3:uid="{4D599598-7C5E-4934-A9B0-30AE0D390AC4}" name="'d45vref'"/>
    <tableColumn id="14" xr3:uid="{BA420A92-8464-4387-BDFB-1A4C25E4DAEE}" name="'d46vref'"/>
    <tableColumn id="15" xr3:uid="{36A35053-F27B-45D9-B995-1465355958A5}" name="'d47vref'"/>
    <tableColumn id="16" xr3:uid="{975867BC-56CD-46D8-A75A-FC322FF03AA0}" name="'d48vref'"/>
    <tableColumn id="17" xr3:uid="{5FF35F35-2B08-41C3-B74B-F7157B2C78E4}" name="'d9vref'"/>
    <tableColumn id="18" xr3:uid="{23C56CC6-E3E1-4ADD-9459-B3AC0D7202FE}" name="'D47vref'3"/>
    <tableColumn id="19" xr3:uid="{A40A59D4-A4EC-4337-A2E4-84E5DBF0D661}" name="'D48vref'4"/>
    <tableColumn id="20" xr3:uid="{8BC618E6-4C2F-4AD1-BBC0-8B3AF16BA82A}" name="'D49vref'"/>
    <tableColumn id="21" xr3:uid="{34BEDEEF-FDA0-4466-8800-B3DA494BEC42}" name="'D47@d47=0'"/>
    <tableColumn id="22" xr3:uid="{D12DC5ED-DBEA-4C47-AA52-E538B5423F6F}" name="'D48@d487=0'"/>
    <tableColumn id="23" xr3:uid="{51F9A45D-D157-4A82-82C7-5FC9BA901782}" name="'D49@d49=0'"/>
    <tableColumn id="24" xr3:uid="{22619B3E-79B8-43B8-A512-AFF13BCFEB11}" name="'d13CPDB'"/>
    <tableColumn id="25" xr3:uid="{9EDF60AF-F38F-45D1-936A-A094FD3CA09F}" name="'d18OPDBmin'"/>
    <tableColumn id="26" xr3:uid="{B50F6089-136F-4A32-BC6F-6D5830F9D05C}" name="'D47_90 CDES'"/>
    <tableColumn id="27" xr3:uid="{A35975DF-142A-4226-BBB1-19B09AB96F6E}" name="'D47_90 iCDES+'"/>
    <tableColumn id="28" xr3:uid="{B5194908-6834-4B60-BFE1-7EDD2D2C31D6}" name="'D47_90_iCDES'"/>
    <tableColumn id="29" xr3:uid="{A2B60A2F-006F-45B7-B7ED-7D45C5569914}" name="'D48_90 CDES'"/>
    <tableColumn id="30" xr3:uid="{064DD1AE-3EE4-4BFF-91B4-4E1098C116BF}" name="'D48_90 iCDES+'"/>
    <tableColumn id="31" xr3:uid="{3EF66C9C-AB62-40E8-870C-33925BDE2543}" name="'D48_90_iCDES'"/>
    <tableColumn id="32" xr3:uid="{4451BC3E-67BB-45AB-BB3D-D4381D4EA722}" name="'D49_90 CDES'"/>
    <tableColumn id="33" xr3:uid="{B3519F57-8320-4CC0-85FB-A4445306ED60}" name="'D49_90 iCDES+'"/>
    <tableColumn id="34" xr3:uid="{B12B4A2E-A2FE-41C5-B3AC-1F7848F6C388}" name="'D47_90_iCDES'5"/>
    <tableColumn id="35" xr3:uid="{F32C7DAD-D043-4F5A-A2A8-F9C008425A51}" name="'T(D47)CDES'"/>
    <tableColumn id="36" xr3:uid="{0235BC4F-7C52-4C1D-B9A1-551FBD6995F9}" name="'TD47iCDES+'"/>
    <tableColumn id="37" xr3:uid="{79F100B6-465B-46D3-B6A8-0AF4972A3A44}" name="'T(D47)iCDES'"/>
    <tableColumn id="38" xr3:uid="{F478DC74-EA16-483D-889E-5F5FD68332A4}" name="mean"/>
    <tableColumn id="39" xr3:uid="{931A2C86-C946-4642-B25D-5D49F66F37FE}" name="SE_1sigma" dataDxfId="0"/>
    <tableColumn id="40" xr3:uid="{5862F256-C718-4495-B928-4741F5D7FCE6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53A2-52C3-4992-BE65-5FC843614D6B}">
  <dimension ref="A1:AN320"/>
  <sheetViews>
    <sheetView tabSelected="1" workbookViewId="0">
      <pane xSplit="7" ySplit="1" topLeftCell="AG29" activePane="bottomRight" state="frozen"/>
      <selection pane="topRight" activeCell="H1" sqref="H1"/>
      <selection pane="bottomLeft" activeCell="A2" sqref="A2"/>
      <selection pane="bottomRight" activeCell="AL32" sqref="AL32"/>
    </sheetView>
  </sheetViews>
  <sheetFormatPr defaultRowHeight="15"/>
  <cols>
    <col min="2" max="2" width="9.28515625" customWidth="1"/>
    <col min="3" max="3" width="26.28515625" customWidth="1"/>
    <col min="5" max="5" width="9.7109375" customWidth="1"/>
    <col min="6" max="6" width="30.5703125" customWidth="1"/>
    <col min="7" max="7" width="37" customWidth="1"/>
    <col min="8" max="8" width="10.140625" customWidth="1"/>
    <col min="9" max="9" width="23.42578125" customWidth="1"/>
    <col min="10" max="10" width="12.85546875" customWidth="1"/>
    <col min="11" max="11" width="15.42578125" customWidth="1"/>
    <col min="12" max="12" width="18.42578125" customWidth="1"/>
    <col min="13" max="16" width="10.7109375" customWidth="1"/>
    <col min="17" max="17" width="9.7109375" customWidth="1"/>
    <col min="18" max="19" width="12" customWidth="1"/>
    <col min="20" max="20" width="11" customWidth="1"/>
    <col min="21" max="21" width="14.140625" customWidth="1"/>
    <col min="22" max="22" width="15.140625" customWidth="1"/>
    <col min="23" max="23" width="14.140625" customWidth="1"/>
    <col min="24" max="24" width="12.28515625" customWidth="1"/>
    <col min="25" max="25" width="15.7109375" customWidth="1"/>
    <col min="26" max="26" width="15.85546875" customWidth="1"/>
    <col min="27" max="27" width="17.42578125" customWidth="1"/>
    <col min="28" max="28" width="16.85546875" customWidth="1"/>
    <col min="29" max="29" width="15.85546875" customWidth="1"/>
    <col min="30" max="30" width="17.42578125" customWidth="1"/>
    <col min="31" max="31" width="16.85546875" customWidth="1"/>
    <col min="32" max="32" width="15.85546875" customWidth="1"/>
    <col min="33" max="33" width="17.42578125" customWidth="1"/>
    <col min="34" max="34" width="17.85546875" customWidth="1"/>
    <col min="35" max="35" width="15" customWidth="1"/>
    <col min="36" max="36" width="15.140625" customWidth="1"/>
    <col min="37" max="37" width="15.5703125" customWidth="1"/>
    <col min="38" max="38" width="20.5703125" customWidth="1"/>
    <col min="39" max="39" width="16.7109375" style="19" customWidth="1"/>
  </cols>
  <sheetData>
    <row r="1" spans="1:40" s="4" customFormat="1">
      <c r="A1" s="4" t="s">
        <v>70</v>
      </c>
      <c r="B1" s="4" t="s">
        <v>71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  <c r="H1" s="5" t="s">
        <v>108</v>
      </c>
      <c r="I1" s="4" t="s">
        <v>77</v>
      </c>
      <c r="J1" s="4" t="s">
        <v>78</v>
      </c>
      <c r="K1" s="4" t="s">
        <v>79</v>
      </c>
      <c r="L1" s="4" t="s">
        <v>80</v>
      </c>
      <c r="M1" s="4" t="s">
        <v>81</v>
      </c>
      <c r="N1" s="4" t="s">
        <v>82</v>
      </c>
      <c r="O1" s="4" t="s">
        <v>83</v>
      </c>
      <c r="P1" s="4" t="s">
        <v>84</v>
      </c>
      <c r="Q1" s="4" t="s">
        <v>85</v>
      </c>
      <c r="R1" s="5" t="s">
        <v>109</v>
      </c>
      <c r="S1" s="5" t="s">
        <v>110</v>
      </c>
      <c r="T1" s="4" t="s">
        <v>86</v>
      </c>
      <c r="U1" s="4" t="s">
        <v>87</v>
      </c>
      <c r="V1" s="4" t="s">
        <v>88</v>
      </c>
      <c r="W1" s="4" t="s">
        <v>89</v>
      </c>
      <c r="X1" s="4" t="s">
        <v>90</v>
      </c>
      <c r="Y1" s="4" t="s">
        <v>91</v>
      </c>
      <c r="Z1" s="4" t="s">
        <v>92</v>
      </c>
      <c r="AA1" s="4" t="s">
        <v>93</v>
      </c>
      <c r="AB1" s="4" t="s">
        <v>94</v>
      </c>
      <c r="AC1" s="4" t="s">
        <v>95</v>
      </c>
      <c r="AD1" s="4" t="s">
        <v>96</v>
      </c>
      <c r="AE1" s="4" t="s">
        <v>97</v>
      </c>
      <c r="AF1" s="4" t="s">
        <v>98</v>
      </c>
      <c r="AG1" s="4" t="s">
        <v>99</v>
      </c>
      <c r="AH1" s="5" t="s">
        <v>111</v>
      </c>
      <c r="AI1" s="4" t="s">
        <v>100</v>
      </c>
      <c r="AJ1" s="4" t="s">
        <v>101</v>
      </c>
      <c r="AK1" s="5" t="s">
        <v>102</v>
      </c>
      <c r="AL1" s="5" t="s">
        <v>112</v>
      </c>
      <c r="AM1" s="15" t="s">
        <v>113</v>
      </c>
      <c r="AN1" s="4" t="s">
        <v>196</v>
      </c>
    </row>
    <row r="2" spans="1:40" s="3" customFormat="1">
      <c r="A2" s="3">
        <v>4336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31</v>
      </c>
      <c r="G2" s="3" t="s">
        <v>32</v>
      </c>
      <c r="H2" s="3">
        <v>4336</v>
      </c>
      <c r="I2" s="3" t="s">
        <v>33</v>
      </c>
      <c r="J2" s="3">
        <v>90</v>
      </c>
      <c r="K2" s="3">
        <v>-8.5809458035212494</v>
      </c>
      <c r="L2" s="3">
        <v>-1.54594808918125</v>
      </c>
      <c r="M2" s="3">
        <v>1.8121116399644399</v>
      </c>
      <c r="N2" s="3">
        <v>-2.6762735701898901</v>
      </c>
      <c r="O2" s="3">
        <v>-1.1090866150912</v>
      </c>
      <c r="P2" s="3">
        <v>-5.5200691104096098</v>
      </c>
      <c r="Q2" s="3">
        <v>-31.149512802634099</v>
      </c>
      <c r="R2" s="3">
        <v>-0.36037873297023199</v>
      </c>
      <c r="S2" s="3">
        <v>-0.18346647223010101</v>
      </c>
      <c r="T2" s="3">
        <v>-27.970993907525799</v>
      </c>
      <c r="U2" s="3">
        <v>-0.35910962240243099</v>
      </c>
      <c r="V2" s="3">
        <v>-0.182473952405768</v>
      </c>
      <c r="W2" s="3">
        <v>-17.6813077649911</v>
      </c>
      <c r="X2" s="3">
        <v>-8.8632955939429596</v>
      </c>
      <c r="Y2" s="3">
        <v>-9.5288907920241197</v>
      </c>
      <c r="Z2" s="3">
        <v>0.56783597306310796</v>
      </c>
      <c r="AA2" s="3">
        <v>0.56503072165417501</v>
      </c>
      <c r="AB2" s="3">
        <v>0.56273252617182701</v>
      </c>
      <c r="AC2" s="3">
        <v>0.17350495306101399</v>
      </c>
      <c r="AD2" s="3">
        <v>0.17321491735434999</v>
      </c>
      <c r="AE2" s="3">
        <v>0.17231433355491901</v>
      </c>
      <c r="AF2" s="3">
        <v>5.9120167056400197</v>
      </c>
      <c r="AG2" s="3">
        <v>1.0954838527083599</v>
      </c>
      <c r="AH2" s="3">
        <v>-6.7198502312177902E-2</v>
      </c>
      <c r="AI2" s="3">
        <v>37.012921948380203</v>
      </c>
      <c r="AJ2" s="3">
        <v>38.111460204792401</v>
      </c>
      <c r="AK2" s="3">
        <v>39.020186083911099</v>
      </c>
      <c r="AM2" s="16"/>
    </row>
    <row r="3" spans="1:40" s="3" customFormat="1">
      <c r="A3" s="3">
        <v>4393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105</v>
      </c>
      <c r="G3" s="3" t="s">
        <v>106</v>
      </c>
      <c r="H3" s="3">
        <v>4393</v>
      </c>
      <c r="I3" s="3" t="s">
        <v>107</v>
      </c>
      <c r="J3" s="3">
        <v>90</v>
      </c>
      <c r="K3" s="3">
        <v>-8.4988432230769906</v>
      </c>
      <c r="L3" s="3">
        <v>-1.73904035365517</v>
      </c>
      <c r="M3" s="3">
        <v>1.88199221887607</v>
      </c>
      <c r="N3" s="3">
        <v>-2.8687976623030398</v>
      </c>
      <c r="O3" s="3">
        <v>-1.2361269777489401</v>
      </c>
      <c r="P3" s="3">
        <v>-5.8454412878640598</v>
      </c>
      <c r="Q3" s="3">
        <v>-24.469904150910899</v>
      </c>
      <c r="R3" s="3">
        <v>-0.359617821329483</v>
      </c>
      <c r="S3" s="3">
        <v>-0.129237441576216</v>
      </c>
      <c r="T3" s="3">
        <v>-20.925712341699199</v>
      </c>
      <c r="U3" s="3">
        <v>-0.35825793780554199</v>
      </c>
      <c r="V3" s="3">
        <v>-0.123857767529791</v>
      </c>
      <c r="W3" s="3">
        <v>-12.8659746755458</v>
      </c>
      <c r="X3" s="3">
        <v>-8.7811930134987009</v>
      </c>
      <c r="Y3" s="3">
        <v>-9.7204261458362495</v>
      </c>
      <c r="Z3" s="3">
        <v>0.57421420895539999</v>
      </c>
      <c r="AA3" s="3">
        <v>0.56755946963411597</v>
      </c>
      <c r="AB3" s="3">
        <v>0.56273222076651597</v>
      </c>
      <c r="AC3" s="3">
        <v>0.243042941509931</v>
      </c>
      <c r="AD3" s="3">
        <v>0.24380953490098101</v>
      </c>
      <c r="AE3" s="3">
        <v>0.24877819093651901</v>
      </c>
      <c r="AF3" s="3">
        <v>-0.95660027944214199</v>
      </c>
      <c r="AG3" s="3">
        <v>0.89257758255459796</v>
      </c>
      <c r="AH3" s="3">
        <v>1.6062988345881499</v>
      </c>
      <c r="AI3" s="3">
        <v>34.557867664665501</v>
      </c>
      <c r="AJ3" s="3">
        <v>37.120684453803698</v>
      </c>
      <c r="AK3" s="3">
        <v>39.020307373168599</v>
      </c>
      <c r="AL3" s="3">
        <f>AVERAGE(AK2:AK3)</f>
        <v>39.020246728539846</v>
      </c>
      <c r="AM3" s="13">
        <f>STDEV(AK2:AK3)/SQRT(COUNT(AK2:AK3))</f>
        <v>6.0644628749884077E-5</v>
      </c>
    </row>
    <row r="4" spans="1:40" s="3" customFormat="1">
      <c r="A4" s="3">
        <v>4464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150</v>
      </c>
      <c r="G4" s="3" t="s">
        <v>151</v>
      </c>
      <c r="H4" s="3">
        <v>4464</v>
      </c>
      <c r="I4" s="3" t="s">
        <v>152</v>
      </c>
      <c r="J4" s="3">
        <v>90</v>
      </c>
      <c r="K4" s="3">
        <v>-8.4471960289021801</v>
      </c>
      <c r="L4" s="3">
        <v>-1.75555992861178</v>
      </c>
      <c r="M4" s="3">
        <v>1.93001841442008</v>
      </c>
      <c r="N4" s="3">
        <v>-2.88517408507624</v>
      </c>
      <c r="O4" s="3">
        <v>-1.2058464357585601</v>
      </c>
      <c r="P4" s="3">
        <v>-5.8223200971346101</v>
      </c>
      <c r="Q4" s="3">
        <v>-23.681509168183499</v>
      </c>
      <c r="R4" s="3">
        <v>-0.35900322213610297</v>
      </c>
      <c r="S4" s="3">
        <v>-6.57672537746012E-2</v>
      </c>
      <c r="T4" s="3">
        <v>-20.145917607465101</v>
      </c>
      <c r="U4" s="3">
        <v>-0.35739739652663099</v>
      </c>
      <c r="V4" s="3">
        <v>-6.6348135432466995E-2</v>
      </c>
      <c r="W4" s="3">
        <v>-12.159763771768899</v>
      </c>
      <c r="X4" s="3">
        <v>-8.7259787134886597</v>
      </c>
      <c r="Y4" s="3">
        <v>-9.7348874613592002</v>
      </c>
      <c r="Z4" s="3">
        <v>0.56090563749538602</v>
      </c>
      <c r="AA4" s="3">
        <v>0.56601971336989199</v>
      </c>
      <c r="AB4" s="3">
        <v>0.56990580538503099</v>
      </c>
      <c r="AC4" s="3">
        <v>0.29586630618645599</v>
      </c>
      <c r="AD4" s="3">
        <v>0.30257359774162601</v>
      </c>
      <c r="AE4" s="3">
        <v>0.31471694690155599</v>
      </c>
      <c r="AF4" s="3">
        <v>0.33445523852628001</v>
      </c>
      <c r="AG4" s="3">
        <v>0.43320427159137198</v>
      </c>
      <c r="AH4" s="3">
        <v>4.2704265345902099</v>
      </c>
      <c r="AI4" s="3">
        <v>39.748258997959098</v>
      </c>
      <c r="AJ4" s="3">
        <v>37.722839446295303</v>
      </c>
      <c r="AK4" s="3">
        <v>36.209790473441203</v>
      </c>
      <c r="AM4" s="13"/>
    </row>
    <row r="5" spans="1:40" s="3" customFormat="1">
      <c r="A5" s="3">
        <v>4466</v>
      </c>
      <c r="B5" s="3" t="s">
        <v>0</v>
      </c>
      <c r="C5" s="3" t="s">
        <v>1</v>
      </c>
      <c r="D5" s="3" t="s">
        <v>2</v>
      </c>
      <c r="E5" s="3" t="s">
        <v>3</v>
      </c>
      <c r="F5" s="3" t="s">
        <v>150</v>
      </c>
      <c r="G5" s="3" t="s">
        <v>153</v>
      </c>
      <c r="H5" s="3">
        <v>4466</v>
      </c>
      <c r="I5" s="3" t="s">
        <v>154</v>
      </c>
      <c r="J5" s="3">
        <v>90</v>
      </c>
      <c r="K5" s="3">
        <v>-8.4369865406690501</v>
      </c>
      <c r="L5" s="3">
        <v>-1.7565629754774501</v>
      </c>
      <c r="M5" s="3">
        <v>1.93952692940081</v>
      </c>
      <c r="N5" s="3">
        <v>-2.8861539437097599</v>
      </c>
      <c r="O5" s="3">
        <v>-1.1813823157643899</v>
      </c>
      <c r="P5" s="3">
        <v>-5.8397063797641797</v>
      </c>
      <c r="Q5" s="3">
        <v>-20.835220893030598</v>
      </c>
      <c r="R5" s="3">
        <v>-0.34081835670723098</v>
      </c>
      <c r="S5" s="3">
        <v>-7.6148731577810297E-2</v>
      </c>
      <c r="T5" s="3">
        <v>-17.292504296177398</v>
      </c>
      <c r="U5" s="3">
        <v>-0.33924530267052</v>
      </c>
      <c r="V5" s="3">
        <v>-7.6638286142152803E-2</v>
      </c>
      <c r="W5" s="3">
        <v>-10.265929988026301</v>
      </c>
      <c r="X5" s="3">
        <v>-8.7157692252555297</v>
      </c>
      <c r="Y5" s="3">
        <v>-9.7358824206179193</v>
      </c>
      <c r="Z5" s="3">
        <v>0.58087433451294801</v>
      </c>
      <c r="AA5" s="3">
        <v>0.58585768299519003</v>
      </c>
      <c r="AB5" s="3">
        <v>0.58952353276681102</v>
      </c>
      <c r="AC5" s="3">
        <v>0.28384846567043698</v>
      </c>
      <c r="AD5" s="3">
        <v>0.29054190772123301</v>
      </c>
      <c r="AE5" s="3">
        <v>0.30226877532954599</v>
      </c>
      <c r="AF5" s="3">
        <v>-1.2996170310817301</v>
      </c>
      <c r="AG5" s="3">
        <v>-0.27965652465962798</v>
      </c>
      <c r="AH5" s="3">
        <v>6.8667488651505204</v>
      </c>
      <c r="AI5" s="3">
        <v>32.055526510365297</v>
      </c>
      <c r="AJ5" s="3">
        <v>30.2226059117041</v>
      </c>
      <c r="AK5" s="3">
        <v>28.895158845942301</v>
      </c>
      <c r="AL5" s="3">
        <f>AVERAGE(AK2:AK5)</f>
        <v>35.7863606941158</v>
      </c>
      <c r="AM5" s="13">
        <f>STDEV(AK2:AK5)/SQRT(COUNT(AK2:AK5))</f>
        <v>2.3906762199729732</v>
      </c>
    </row>
    <row r="6" spans="1:40" s="7" customFormat="1">
      <c r="A6" s="7">
        <v>4264</v>
      </c>
      <c r="B6" s="7" t="s">
        <v>0</v>
      </c>
      <c r="C6" s="7" t="s">
        <v>1</v>
      </c>
      <c r="D6" s="7" t="s">
        <v>14</v>
      </c>
      <c r="E6" s="7" t="s">
        <v>3</v>
      </c>
      <c r="F6" s="7" t="s">
        <v>18</v>
      </c>
      <c r="G6" s="7" t="s">
        <v>19</v>
      </c>
      <c r="H6" s="7">
        <v>4264</v>
      </c>
      <c r="I6" s="7" t="s">
        <v>20</v>
      </c>
      <c r="J6" s="7">
        <v>90</v>
      </c>
      <c r="K6" s="7">
        <v>-8.1977976333867097</v>
      </c>
      <c r="L6" s="7">
        <v>-0.32359003577441497</v>
      </c>
      <c r="M6" s="7">
        <v>2.21580153436217</v>
      </c>
      <c r="N6" s="7">
        <v>-1.4557159280180401</v>
      </c>
      <c r="O6" s="7">
        <v>0.51704240099029197</v>
      </c>
      <c r="P6" s="7">
        <v>-2.9911161961595001</v>
      </c>
      <c r="Q6" s="7">
        <v>-27.669256778412901</v>
      </c>
      <c r="R6" s="7">
        <v>-0.345144843435505</v>
      </c>
      <c r="S6" s="7">
        <v>-0.10163914508614599</v>
      </c>
      <c r="T6" s="7">
        <v>-27.2004604333804</v>
      </c>
      <c r="U6" s="7">
        <v>-0.34576533346173299</v>
      </c>
      <c r="V6" s="7">
        <v>-0.103899198012044</v>
      </c>
      <c r="W6" s="7">
        <v>-18.026908260550201</v>
      </c>
      <c r="X6" s="7">
        <v>-8.48014742380842</v>
      </c>
      <c r="Y6" s="7">
        <v>-8.3163886605564592</v>
      </c>
      <c r="Z6" s="7">
        <v>0.57535356543145899</v>
      </c>
      <c r="AA6" s="7">
        <v>0.57747362013765302</v>
      </c>
      <c r="AB6" s="7">
        <v>0.578361676503096</v>
      </c>
      <c r="AC6" s="7">
        <v>0.26143257687232102</v>
      </c>
      <c r="AD6" s="7">
        <v>0.26039248275434501</v>
      </c>
      <c r="AE6" s="7">
        <v>0.25853509569752797</v>
      </c>
      <c r="AF6" s="7">
        <v>10.7033841497681</v>
      </c>
      <c r="AG6" s="7">
        <v>0.63644909751997403</v>
      </c>
      <c r="AH6" s="7">
        <v>-0.19096089978001499</v>
      </c>
      <c r="AI6" s="7">
        <v>34.125423155291003</v>
      </c>
      <c r="AJ6" s="7">
        <v>33.325582480009601</v>
      </c>
      <c r="AK6" s="7">
        <v>32.992393425426499</v>
      </c>
      <c r="AM6" s="17"/>
    </row>
    <row r="7" spans="1:40" s="7" customFormat="1">
      <c r="A7" s="7">
        <v>4346</v>
      </c>
      <c r="B7" s="7" t="s">
        <v>0</v>
      </c>
      <c r="C7" s="7" t="s">
        <v>1</v>
      </c>
      <c r="D7" s="7" t="s">
        <v>14</v>
      </c>
      <c r="E7" s="7" t="s">
        <v>3</v>
      </c>
      <c r="F7" s="8" t="s">
        <v>69</v>
      </c>
      <c r="G7" s="7" t="s">
        <v>49</v>
      </c>
      <c r="H7" s="7">
        <v>4346</v>
      </c>
      <c r="I7" s="7" t="s">
        <v>50</v>
      </c>
      <c r="J7" s="7">
        <v>90</v>
      </c>
      <c r="K7" s="7">
        <v>-6.8993840981404899</v>
      </c>
      <c r="L7" s="7">
        <v>-0.254427133648159</v>
      </c>
      <c r="M7" s="7">
        <v>3.44415575290448</v>
      </c>
      <c r="N7" s="7">
        <v>-1.38396895115518</v>
      </c>
      <c r="O7" s="7">
        <v>1.85666643437126</v>
      </c>
      <c r="P7" s="7">
        <v>-2.84858962695907</v>
      </c>
      <c r="Q7" s="7">
        <v>-24.199365263493</v>
      </c>
      <c r="R7" s="7">
        <v>-0.33611668519155902</v>
      </c>
      <c r="S7" s="7">
        <v>-0.108226752981222</v>
      </c>
      <c r="T7" s="7">
        <v>-25.1814235555231</v>
      </c>
      <c r="U7" s="7">
        <v>-0.33822685281114301</v>
      </c>
      <c r="V7" s="7">
        <v>-0.107344495157948</v>
      </c>
      <c r="W7" s="7">
        <v>-17.191664815272301</v>
      </c>
      <c r="X7" s="7">
        <v>-7.1817338885622002</v>
      </c>
      <c r="Y7" s="7">
        <v>-8.2477834216800208</v>
      </c>
      <c r="Z7" s="7">
        <v>0.59128310590341304</v>
      </c>
      <c r="AA7" s="7">
        <v>0.58784921616435704</v>
      </c>
      <c r="AB7" s="7">
        <v>0.58524218008297901</v>
      </c>
      <c r="AC7" s="7">
        <v>0.26043964148795701</v>
      </c>
      <c r="AD7" s="7">
        <v>0.26065711893911497</v>
      </c>
      <c r="AE7" s="7">
        <v>0.26381599881682999</v>
      </c>
      <c r="AF7" s="7">
        <v>4.9068733713913399</v>
      </c>
      <c r="AG7" s="7">
        <v>1.14191555825059</v>
      </c>
      <c r="AH7" s="7">
        <v>9.5580379468743495E-2</v>
      </c>
      <c r="AI7" s="7">
        <v>28.264155587661701</v>
      </c>
      <c r="AJ7" s="7">
        <v>29.499282567908502</v>
      </c>
      <c r="AK7" s="7">
        <v>30.447207340352101</v>
      </c>
      <c r="AM7" s="17"/>
    </row>
    <row r="8" spans="1:40" s="7" customFormat="1">
      <c r="A8" s="7">
        <v>4381</v>
      </c>
      <c r="B8" s="7" t="s">
        <v>0</v>
      </c>
      <c r="C8" s="7" t="s">
        <v>1</v>
      </c>
      <c r="D8" s="7" t="s">
        <v>2</v>
      </c>
      <c r="E8" s="7" t="s">
        <v>3</v>
      </c>
      <c r="F8" s="7" t="s">
        <v>63</v>
      </c>
      <c r="G8" s="7" t="s">
        <v>64</v>
      </c>
      <c r="H8" s="7">
        <v>4381</v>
      </c>
      <c r="I8" s="7" t="s">
        <v>65</v>
      </c>
      <c r="J8" s="7">
        <v>90</v>
      </c>
      <c r="K8" s="7">
        <v>-6.9063709063175596</v>
      </c>
      <c r="L8" s="7">
        <v>-0.21941685854208301</v>
      </c>
      <c r="M8" s="7">
        <v>3.4383161251776002</v>
      </c>
      <c r="N8" s="7">
        <v>-1.3490508701207</v>
      </c>
      <c r="O8" s="7">
        <v>1.905595351686</v>
      </c>
      <c r="P8" s="7">
        <v>-2.7754525853267999</v>
      </c>
      <c r="Q8" s="7">
        <v>-20.043683407610398</v>
      </c>
      <c r="R8" s="7">
        <v>-0.32883451196810398</v>
      </c>
      <c r="S8" s="7">
        <v>-9.8662498185558806E-2</v>
      </c>
      <c r="T8" s="7">
        <v>-21.065289092314401</v>
      </c>
      <c r="U8" s="7">
        <v>-0.33094860787026198</v>
      </c>
      <c r="V8" s="7">
        <v>-9.6540883521711807E-2</v>
      </c>
      <c r="W8" s="7">
        <v>-14.459385815572199</v>
      </c>
      <c r="X8" s="7">
        <v>-7.1887206967392698</v>
      </c>
      <c r="Y8" s="7">
        <v>-8.2130554358242804</v>
      </c>
      <c r="Z8" s="7">
        <v>0.60224231696480501</v>
      </c>
      <c r="AA8" s="7">
        <v>0.59651562304345696</v>
      </c>
      <c r="AB8" s="7">
        <v>0.592597896491035</v>
      </c>
      <c r="AC8" s="7">
        <v>0.27420204908658002</v>
      </c>
      <c r="AD8" s="7">
        <v>0.27505048478032701</v>
      </c>
      <c r="AE8" s="7">
        <v>0.28171529650682398</v>
      </c>
      <c r="AF8" s="7">
        <v>0.89193998360995896</v>
      </c>
      <c r="AG8" s="7">
        <v>1.06811761144995</v>
      </c>
      <c r="AH8" s="7">
        <v>1.0395643026502299</v>
      </c>
      <c r="AI8" s="7">
        <v>24.4211303062363</v>
      </c>
      <c r="AJ8" s="7">
        <v>26.410825315892701</v>
      </c>
      <c r="AK8" s="7">
        <v>27.7952295508865</v>
      </c>
      <c r="AL8" s="7">
        <f>AVERAGE(AK6:AK8)</f>
        <v>30.411610105555031</v>
      </c>
      <c r="AM8" s="14">
        <f>STDEV(AK6:AK8)/SQRT(COUNT(AK6:AK8))</f>
        <v>1.5003975536558973</v>
      </c>
    </row>
    <row r="9" spans="1:40" s="7" customFormat="1">
      <c r="A9" s="7">
        <v>4461</v>
      </c>
      <c r="B9" s="7" t="s">
        <v>0</v>
      </c>
      <c r="C9" s="7" t="s">
        <v>1</v>
      </c>
      <c r="D9" s="7" t="s">
        <v>2</v>
      </c>
      <c r="E9" s="7" t="s">
        <v>3</v>
      </c>
      <c r="F9" s="7" t="s">
        <v>145</v>
      </c>
      <c r="G9" s="7" t="s">
        <v>146</v>
      </c>
      <c r="H9" s="7">
        <v>4461</v>
      </c>
      <c r="I9" s="7" t="s">
        <v>147</v>
      </c>
      <c r="J9" s="7">
        <v>90</v>
      </c>
      <c r="K9" s="7">
        <v>-7.0369065276477301</v>
      </c>
      <c r="L9" s="7">
        <v>-0.28353816488047001</v>
      </c>
      <c r="M9" s="7">
        <v>3.3123697747680301</v>
      </c>
      <c r="N9" s="7">
        <v>-1.4133151976457099</v>
      </c>
      <c r="O9" s="7">
        <v>1.6909191219505</v>
      </c>
      <c r="P9" s="7">
        <v>-2.9128659122472298</v>
      </c>
      <c r="Q9" s="7">
        <v>-15.8740615029783</v>
      </c>
      <c r="R9" s="7">
        <v>-0.33560472519913198</v>
      </c>
      <c r="S9" s="7">
        <v>-9.3299508274566303E-2</v>
      </c>
      <c r="T9" s="7">
        <v>-16.615068744917199</v>
      </c>
      <c r="U9" s="7">
        <v>-0.33785693580069598</v>
      </c>
      <c r="V9" s="7">
        <v>-9.3659748537197995E-2</v>
      </c>
      <c r="W9" s="7">
        <v>-11.2621519067836</v>
      </c>
      <c r="X9" s="7">
        <v>-7.3156892122342096</v>
      </c>
      <c r="Y9" s="7">
        <v>-8.2747346680624592</v>
      </c>
      <c r="Z9" s="7">
        <v>0.582197689036282</v>
      </c>
      <c r="AA9" s="7">
        <v>0.58729603711538503</v>
      </c>
      <c r="AB9" s="7">
        <v>0.59100956128361504</v>
      </c>
      <c r="AC9" s="7">
        <v>0.26406866932946699</v>
      </c>
      <c r="AD9" s="7">
        <v>0.27047883432875303</v>
      </c>
      <c r="AE9" s="7">
        <v>0.28068680931448498</v>
      </c>
      <c r="AF9" s="7">
        <v>-0.47555694188390002</v>
      </c>
      <c r="AG9" s="7">
        <v>9.2147436514314202E-2</v>
      </c>
      <c r="AH9" s="7">
        <v>5.2624451893131496</v>
      </c>
      <c r="AI9" s="7">
        <v>31.565547127564798</v>
      </c>
      <c r="AJ9" s="7">
        <v>29.699677658029</v>
      </c>
      <c r="AK9" s="7">
        <v>28.361992278371201</v>
      </c>
      <c r="AL9" s="7">
        <f>AVERAGE(AK6:AK9)</f>
        <v>29.899205648759075</v>
      </c>
      <c r="AM9" s="14">
        <f>STDEV(AK6:AK10)/SQRT(COUNT(AK6:AK10))</f>
        <v>1.7548770936765297</v>
      </c>
    </row>
    <row r="10" spans="1:40" s="7" customFormat="1">
      <c r="A10" s="7">
        <v>4463</v>
      </c>
      <c r="B10" s="7" t="s">
        <v>0</v>
      </c>
      <c r="C10" s="7" t="s">
        <v>1</v>
      </c>
      <c r="D10" s="7" t="s">
        <v>2</v>
      </c>
      <c r="E10" s="7" t="s">
        <v>3</v>
      </c>
      <c r="F10" s="7" t="s">
        <v>145</v>
      </c>
      <c r="G10" s="7" t="s">
        <v>148</v>
      </c>
      <c r="H10" s="7">
        <v>4463</v>
      </c>
      <c r="I10" s="7" t="s">
        <v>149</v>
      </c>
      <c r="J10" s="7">
        <v>90</v>
      </c>
      <c r="K10" s="7">
        <v>-7.0018352817240697</v>
      </c>
      <c r="L10" s="7">
        <v>-0.302545990327521</v>
      </c>
      <c r="M10" s="7">
        <v>3.34466428242958</v>
      </c>
      <c r="N10" s="7">
        <v>-1.4322249204998301</v>
      </c>
      <c r="O10" s="7">
        <v>1.7144808144694399</v>
      </c>
      <c r="P10" s="7">
        <v>-2.97984923675866</v>
      </c>
      <c r="Q10" s="7">
        <v>-16.310268581832101</v>
      </c>
      <c r="R10" s="7">
        <v>-0.31970122005927898</v>
      </c>
      <c r="S10" s="7">
        <v>-0.100189230237577</v>
      </c>
      <c r="T10" s="7">
        <v>-17.0410499537162</v>
      </c>
      <c r="U10" s="7">
        <v>-0.32198453386557602</v>
      </c>
      <c r="V10" s="7">
        <v>-0.100510267525991</v>
      </c>
      <c r="W10" s="7">
        <v>-11.5408207267851</v>
      </c>
      <c r="X10" s="7">
        <v>-7.2806179663105501</v>
      </c>
      <c r="Y10" s="7">
        <v>-8.29358923265168</v>
      </c>
      <c r="Z10" s="7">
        <v>0.59967025902426796</v>
      </c>
      <c r="AA10" s="7">
        <v>0.60464774847805303</v>
      </c>
      <c r="AB10" s="7">
        <v>0.60816434024611299</v>
      </c>
      <c r="AC10" s="7">
        <v>0.256058544349343</v>
      </c>
      <c r="AD10" s="7">
        <v>0.262478790840665</v>
      </c>
      <c r="AE10" s="7">
        <v>0.27245550590968898</v>
      </c>
      <c r="AF10" s="7">
        <v>-0.21432184436141999</v>
      </c>
      <c r="AG10" s="7">
        <v>0.19883467133673699</v>
      </c>
      <c r="AH10" s="7">
        <v>5.0170431555693904</v>
      </c>
      <c r="AI10" s="7">
        <v>25.309853612950199</v>
      </c>
      <c r="AJ10" s="7">
        <v>23.597125429154602</v>
      </c>
      <c r="AK10" s="7">
        <v>22.404706379629999</v>
      </c>
      <c r="AL10" s="7">
        <f>AVERAGE(AK6:AK10)</f>
        <v>28.400305794933264</v>
      </c>
      <c r="AM10" s="14">
        <f>STDEV(AK6:AK10)/SQRT(COUNT(AK6:AK10))</f>
        <v>1.7548770936765297</v>
      </c>
    </row>
    <row r="11" spans="1:40" s="3" customFormat="1">
      <c r="A11" s="3">
        <v>4259</v>
      </c>
      <c r="B11" s="3" t="s">
        <v>0</v>
      </c>
      <c r="C11" s="3" t="s">
        <v>1</v>
      </c>
      <c r="D11" s="3" t="s">
        <v>2</v>
      </c>
      <c r="E11" s="3" t="s">
        <v>3</v>
      </c>
      <c r="F11" s="3" t="s">
        <v>11</v>
      </c>
      <c r="G11" s="3" t="s">
        <v>12</v>
      </c>
      <c r="H11" s="3">
        <v>4259</v>
      </c>
      <c r="I11" s="3" t="s">
        <v>13</v>
      </c>
      <c r="J11" s="3">
        <v>90</v>
      </c>
      <c r="K11" s="3">
        <v>-8.9846696416819398</v>
      </c>
      <c r="L11" s="3">
        <v>-0.28150043295914601</v>
      </c>
      <c r="M11" s="3">
        <v>1.475263828746</v>
      </c>
      <c r="N11" s="3">
        <v>-1.4153597971216301</v>
      </c>
      <c r="O11" s="3">
        <v>-0.23610493293318099</v>
      </c>
      <c r="P11" s="3">
        <v>-2.9281501093888198</v>
      </c>
      <c r="Q11" s="3">
        <v>-27.7708392378368</v>
      </c>
      <c r="R11" s="3">
        <v>-0.37703217263709599</v>
      </c>
      <c r="S11" s="3">
        <v>-0.123931911179534</v>
      </c>
      <c r="T11" s="3">
        <v>-26.639012177233901</v>
      </c>
      <c r="U11" s="3">
        <v>-0.37674791407888297</v>
      </c>
      <c r="V11" s="3">
        <v>-0.12633459348318499</v>
      </c>
      <c r="W11" s="3">
        <v>-17.4294456506708</v>
      </c>
      <c r="X11" s="3">
        <v>-9.2670194321036501</v>
      </c>
      <c r="Y11" s="3">
        <v>-8.2746384278943204</v>
      </c>
      <c r="Z11" s="3">
        <v>0.54085720784628499</v>
      </c>
      <c r="AA11" s="3">
        <v>0.54342423574389498</v>
      </c>
      <c r="AB11" s="3">
        <v>0.54486505948184305</v>
      </c>
      <c r="AC11" s="3">
        <v>0.235542773366747</v>
      </c>
      <c r="AD11" s="3">
        <v>0.23449516986497301</v>
      </c>
      <c r="AE11" s="3">
        <v>0.232818055076735</v>
      </c>
      <c r="AF11" s="3">
        <v>9.4927134501643895</v>
      </c>
      <c r="AG11" s="3">
        <v>0.68134820463241297</v>
      </c>
      <c r="AH11" s="3">
        <v>-1.36649320467015E-2</v>
      </c>
      <c r="AI11" s="3">
        <v>48.088131001161301</v>
      </c>
      <c r="AJ11" s="3">
        <v>46.9829399638692</v>
      </c>
      <c r="AK11" s="3">
        <v>46.367593663108899</v>
      </c>
      <c r="AM11" s="16"/>
    </row>
    <row r="12" spans="1:40" s="3" customFormat="1">
      <c r="A12" s="3">
        <v>4399</v>
      </c>
      <c r="B12" s="3" t="s">
        <v>0</v>
      </c>
      <c r="C12" s="3" t="s">
        <v>1</v>
      </c>
      <c r="D12" s="3" t="s">
        <v>2</v>
      </c>
      <c r="E12" s="3" t="s">
        <v>3</v>
      </c>
      <c r="F12" s="3" t="s">
        <v>123</v>
      </c>
      <c r="G12" s="3" t="s">
        <v>124</v>
      </c>
      <c r="H12" s="3">
        <v>4399</v>
      </c>
      <c r="I12" s="3" t="s">
        <v>125</v>
      </c>
      <c r="J12" s="3">
        <v>90</v>
      </c>
      <c r="K12" s="3">
        <v>-8.9844172715589998</v>
      </c>
      <c r="L12" s="3">
        <v>-0.377308088482535</v>
      </c>
      <c r="M12" s="3">
        <v>1.4714158064215901</v>
      </c>
      <c r="N12" s="3">
        <v>-1.5109703262192999</v>
      </c>
      <c r="O12" s="3">
        <v>-0.33255520443430397</v>
      </c>
      <c r="P12" s="3">
        <v>-3.1802932795208001</v>
      </c>
      <c r="Q12" s="3">
        <v>-22.227621396829999</v>
      </c>
      <c r="R12" s="3">
        <v>-0.36658139641321003</v>
      </c>
      <c r="S12" s="3">
        <v>-0.16679435901151801</v>
      </c>
      <c r="T12" s="3">
        <v>-20.8610438504342</v>
      </c>
      <c r="U12" s="3">
        <v>-0.36620464253875801</v>
      </c>
      <c r="V12" s="3">
        <v>-0.16375399021447701</v>
      </c>
      <c r="W12" s="3">
        <v>-13.589516031240301</v>
      </c>
      <c r="X12" s="3">
        <v>-9.2659951649325301</v>
      </c>
      <c r="Y12" s="3">
        <v>-8.3704078373754296</v>
      </c>
      <c r="Z12" s="3">
        <v>0.56634234214982204</v>
      </c>
      <c r="AA12" s="3">
        <v>0.55976556897682805</v>
      </c>
      <c r="AB12" s="3">
        <v>0.55483709335743603</v>
      </c>
      <c r="AC12" s="3">
        <v>0.19700587892659899</v>
      </c>
      <c r="AD12" s="3">
        <v>0.19570679339222699</v>
      </c>
      <c r="AE12" s="3">
        <v>0.19496572547786201</v>
      </c>
      <c r="AF12" s="3">
        <v>-0.130301072441183</v>
      </c>
      <c r="AG12" s="3">
        <v>0.95948712426588401</v>
      </c>
      <c r="AH12" s="3">
        <v>1.3593288577981899</v>
      </c>
      <c r="AI12" s="3">
        <v>37.596378155496701</v>
      </c>
      <c r="AJ12" s="3">
        <v>40.2052021273552</v>
      </c>
      <c r="AK12" s="3">
        <v>42.203840393532701</v>
      </c>
      <c r="AL12" s="3">
        <f>AVERAGE(AK11:AK12)</f>
        <v>44.285717028320803</v>
      </c>
      <c r="AM12" s="16">
        <f>STDEV(AK11:AK12)/SQRT(COUNT(AK11:AK12))</f>
        <v>2.0818766347880984</v>
      </c>
    </row>
    <row r="13" spans="1:40" s="7" customFormat="1">
      <c r="A13" s="7">
        <v>4342</v>
      </c>
      <c r="B13" s="7" t="s">
        <v>0</v>
      </c>
      <c r="C13" s="7" t="s">
        <v>1</v>
      </c>
      <c r="D13" s="7" t="s">
        <v>2</v>
      </c>
      <c r="E13" s="7" t="s">
        <v>3</v>
      </c>
      <c r="F13" s="7" t="s">
        <v>43</v>
      </c>
      <c r="G13" s="7" t="s">
        <v>44</v>
      </c>
      <c r="H13" s="7">
        <v>4342</v>
      </c>
      <c r="I13" s="7" t="s">
        <v>45</v>
      </c>
      <c r="J13" s="7">
        <v>90</v>
      </c>
      <c r="K13" s="7">
        <v>-7.5033735929605996</v>
      </c>
      <c r="L13" s="7">
        <v>-0.20384273063540001</v>
      </c>
      <c r="M13" s="7">
        <v>2.8738991165921699</v>
      </c>
      <c r="N13" s="7">
        <v>-1.334749830167</v>
      </c>
      <c r="O13" s="7">
        <v>1.30556957240344</v>
      </c>
      <c r="P13" s="7">
        <v>-2.76869393470571</v>
      </c>
      <c r="Q13" s="7">
        <v>-25.658961700417201</v>
      </c>
      <c r="R13" s="7">
        <v>-0.366568037202047</v>
      </c>
      <c r="S13" s="7">
        <v>-0.127678174669035</v>
      </c>
      <c r="T13" s="7">
        <v>-26.164057623428501</v>
      </c>
      <c r="U13" s="7">
        <v>-0.368055910215142</v>
      </c>
      <c r="V13" s="7">
        <v>-0.12696454027297099</v>
      </c>
      <c r="W13" s="7">
        <v>-17.690666484198999</v>
      </c>
      <c r="X13" s="7">
        <v>-7.7857233833823098</v>
      </c>
      <c r="Y13" s="7">
        <v>-8.1976068827346396</v>
      </c>
      <c r="Z13" s="7">
        <v>0.55878047551088705</v>
      </c>
      <c r="AA13" s="7">
        <v>0.55554622054287695</v>
      </c>
      <c r="AB13" s="7">
        <v>0.55292321010559597</v>
      </c>
      <c r="AC13" s="7">
        <v>0.23767645569625201</v>
      </c>
      <c r="AD13" s="7">
        <v>0.23772873160246899</v>
      </c>
      <c r="AE13" s="7">
        <v>0.23962122350260701</v>
      </c>
      <c r="AF13" s="7">
        <v>5.7536410183994597</v>
      </c>
      <c r="AG13" s="7">
        <v>1.13058835375406</v>
      </c>
      <c r="AH13" s="7">
        <v>-6.8409397710393505E-2</v>
      </c>
      <c r="AI13" s="7">
        <v>40.601647147748302</v>
      </c>
      <c r="AJ13" s="7">
        <v>41.913912167783899</v>
      </c>
      <c r="AK13" s="7">
        <v>42.9903488820867</v>
      </c>
      <c r="AM13" s="17"/>
    </row>
    <row r="14" spans="1:40" s="7" customFormat="1">
      <c r="A14" s="7">
        <v>4401</v>
      </c>
      <c r="B14" s="7" t="s">
        <v>0</v>
      </c>
      <c r="C14" s="7" t="s">
        <v>1</v>
      </c>
      <c r="D14" s="7" t="s">
        <v>2</v>
      </c>
      <c r="E14" s="7" t="s">
        <v>3</v>
      </c>
      <c r="F14" s="7" t="s">
        <v>126</v>
      </c>
      <c r="G14" s="7" t="s">
        <v>127</v>
      </c>
      <c r="H14" s="7">
        <v>4401</v>
      </c>
      <c r="I14" s="7" t="s">
        <v>128</v>
      </c>
      <c r="J14" s="7">
        <v>90</v>
      </c>
      <c r="K14" s="7">
        <v>-7.38041374506175</v>
      </c>
      <c r="L14" s="7">
        <v>-0.37903055894639198</v>
      </c>
      <c r="M14" s="7">
        <v>2.9848031057610598</v>
      </c>
      <c r="N14" s="7">
        <v>-1.5093259603884699</v>
      </c>
      <c r="O14" s="7">
        <v>1.25590692257411</v>
      </c>
      <c r="P14" s="7">
        <v>-3.08178554022308</v>
      </c>
      <c r="Q14" s="7">
        <v>-19.0327534521738</v>
      </c>
      <c r="R14" s="7">
        <v>-0.33608931699231098</v>
      </c>
      <c r="S14" s="7">
        <v>-6.5582144390507996E-2</v>
      </c>
      <c r="T14" s="7">
        <v>-19.2400764368934</v>
      </c>
      <c r="U14" s="7">
        <v>-0.33751053382882501</v>
      </c>
      <c r="V14" s="7">
        <v>-6.2556813319915194E-2</v>
      </c>
      <c r="W14" s="7">
        <v>-13.0146523698937</v>
      </c>
      <c r="X14" s="7">
        <v>-7.6619916384352704</v>
      </c>
      <c r="Y14" s="7">
        <v>-8.3721164194909292</v>
      </c>
      <c r="Z14" s="7">
        <v>0.597044772095215</v>
      </c>
      <c r="AA14" s="7">
        <v>0.59048166704972405</v>
      </c>
      <c r="AB14" s="7">
        <v>0.58592305218929996</v>
      </c>
      <c r="AC14" s="7">
        <v>0.31422792836284902</v>
      </c>
      <c r="AD14" s="7">
        <v>0.31442701829401398</v>
      </c>
      <c r="AE14" s="7">
        <v>0.33235695316015601</v>
      </c>
      <c r="AF14" s="7">
        <v>-0.76675666861198999</v>
      </c>
      <c r="AG14" s="7">
        <v>0.88800797588521296</v>
      </c>
      <c r="AH14" s="7">
        <v>1.5610084364291801</v>
      </c>
      <c r="AI14" s="7">
        <v>26.225301054771101</v>
      </c>
      <c r="AJ14" s="7">
        <v>28.551069968651301</v>
      </c>
      <c r="AK14" s="7">
        <v>30.198781494469301</v>
      </c>
      <c r="AL14" s="7">
        <f>AVERAGE(AK13:AK14)</f>
        <v>36.594565188277997</v>
      </c>
      <c r="AM14" s="17">
        <f>STDEV(AK13:AK14)/SQRT(COUNT(AK13:AK14))</f>
        <v>6.3957836938087036</v>
      </c>
    </row>
    <row r="15" spans="1:40" s="7" customFormat="1">
      <c r="A15" s="7">
        <v>4474</v>
      </c>
      <c r="B15" s="7" t="s">
        <v>0</v>
      </c>
      <c r="C15" s="7" t="s">
        <v>1</v>
      </c>
      <c r="D15" s="7" t="s">
        <v>2</v>
      </c>
      <c r="E15" s="7" t="s">
        <v>3</v>
      </c>
      <c r="F15" s="7" t="s">
        <v>161</v>
      </c>
      <c r="G15" s="7" t="s">
        <v>162</v>
      </c>
      <c r="H15" s="7">
        <v>4474</v>
      </c>
      <c r="I15" s="7" t="s">
        <v>163</v>
      </c>
      <c r="J15" s="7">
        <v>90</v>
      </c>
      <c r="K15" s="7">
        <v>-7.0711366774076003</v>
      </c>
      <c r="L15" s="7">
        <v>-0.308158807512042</v>
      </c>
      <c r="M15" s="7">
        <v>3.27923017368528</v>
      </c>
      <c r="N15" s="7">
        <v>-1.43795551780928</v>
      </c>
      <c r="O15" s="7">
        <v>1.6368265329390601</v>
      </c>
      <c r="P15" s="7">
        <v>-3.01162041788956</v>
      </c>
      <c r="Q15" s="7">
        <v>-19.543012654287601</v>
      </c>
      <c r="R15" s="7">
        <v>-0.33190713084388401</v>
      </c>
      <c r="S15" s="7">
        <v>-0.13383768097670601</v>
      </c>
      <c r="T15" s="7">
        <v>-20.200626513040099</v>
      </c>
      <c r="U15" s="7">
        <v>-0.33408555762893799</v>
      </c>
      <c r="V15" s="7">
        <v>-0.13389817829668799</v>
      </c>
      <c r="W15" s="7">
        <v>-13.6087965970176</v>
      </c>
      <c r="X15" s="7">
        <v>-7.3499193619940799</v>
      </c>
      <c r="Y15" s="7">
        <v>-8.2991567934663895</v>
      </c>
      <c r="Z15" s="7">
        <v>0.58683824588212097</v>
      </c>
      <c r="AA15" s="7">
        <v>0.59160585633486995</v>
      </c>
      <c r="AB15" s="7">
        <v>0.59512034117290102</v>
      </c>
      <c r="AC15" s="7">
        <v>0.216975794310797</v>
      </c>
      <c r="AD15" s="7">
        <v>0.223450321414528</v>
      </c>
      <c r="AE15" s="7">
        <v>0.23204455692326101</v>
      </c>
      <c r="AF15" s="7">
        <v>1.6230784455504299</v>
      </c>
      <c r="AG15" s="7">
        <v>0.98173057437279898</v>
      </c>
      <c r="AH15" s="7">
        <v>2.6423699755242001</v>
      </c>
      <c r="AI15" s="7">
        <v>29.865818845908301</v>
      </c>
      <c r="AJ15" s="7">
        <v>28.148842204215399</v>
      </c>
      <c r="AK15" s="7">
        <v>26.901681946750699</v>
      </c>
      <c r="AM15" s="17"/>
    </row>
    <row r="16" spans="1:40" s="7" customFormat="1">
      <c r="A16" s="7">
        <v>4475</v>
      </c>
      <c r="B16" s="7" t="s">
        <v>0</v>
      </c>
      <c r="C16" s="7" t="s">
        <v>1</v>
      </c>
      <c r="D16" s="7" t="s">
        <v>2</v>
      </c>
      <c r="E16" s="7" t="s">
        <v>3</v>
      </c>
      <c r="F16" s="7" t="s">
        <v>161</v>
      </c>
      <c r="G16" s="7" t="s">
        <v>164</v>
      </c>
      <c r="H16" s="7">
        <v>4475</v>
      </c>
      <c r="I16" s="7" t="s">
        <v>165</v>
      </c>
      <c r="J16" s="7">
        <v>90</v>
      </c>
      <c r="K16" s="7">
        <v>-7.0722660257178402</v>
      </c>
      <c r="L16" s="7">
        <v>-0.195213679608748</v>
      </c>
      <c r="M16" s="7">
        <v>3.28221410447164</v>
      </c>
      <c r="N16" s="7">
        <v>-1.3252516819531199</v>
      </c>
      <c r="O16" s="7">
        <v>1.76301530257016</v>
      </c>
      <c r="P16" s="7">
        <v>-2.7910553418716102</v>
      </c>
      <c r="Q16" s="7">
        <v>-18.724711782251099</v>
      </c>
      <c r="R16" s="7">
        <v>-0.32252189230857498</v>
      </c>
      <c r="S16" s="7">
        <v>-0.15405172835925299</v>
      </c>
      <c r="T16" s="7">
        <v>-19.6084061322533</v>
      </c>
      <c r="U16" s="7">
        <v>-0.32486811795916598</v>
      </c>
      <c r="V16" s="7">
        <v>-0.154085555816426</v>
      </c>
      <c r="W16" s="7">
        <v>-13.2924625954098</v>
      </c>
      <c r="X16" s="7">
        <v>-7.3510487103043198</v>
      </c>
      <c r="Y16" s="7">
        <v>-8.1871223466527905</v>
      </c>
      <c r="Z16" s="7">
        <v>0.59696371006244697</v>
      </c>
      <c r="AA16" s="7">
        <v>0.60166879794053496</v>
      </c>
      <c r="AB16" s="7">
        <v>0.60508112018070803</v>
      </c>
      <c r="AC16" s="7">
        <v>0.19341572075588601</v>
      </c>
      <c r="AD16" s="7">
        <v>0.19974967924050199</v>
      </c>
      <c r="AE16" s="7">
        <v>0.20697914532602499</v>
      </c>
      <c r="AF16" s="7">
        <v>1.3573641418679101</v>
      </c>
      <c r="AG16" s="7">
        <v>0.863647665416162</v>
      </c>
      <c r="AH16" s="7">
        <v>3.14117117145687</v>
      </c>
      <c r="AI16" s="7">
        <v>26.253699751853301</v>
      </c>
      <c r="AJ16" s="7">
        <v>24.618610524481401</v>
      </c>
      <c r="AK16" s="7">
        <v>23.449396026517501</v>
      </c>
      <c r="AM16" s="17"/>
    </row>
    <row r="17" spans="1:39" s="7" customFormat="1">
      <c r="A17" s="7">
        <v>4476</v>
      </c>
      <c r="B17" s="7" t="s">
        <v>0</v>
      </c>
      <c r="C17" s="7" t="s">
        <v>1</v>
      </c>
      <c r="D17" s="7" t="s">
        <v>2</v>
      </c>
      <c r="E17" s="7" t="s">
        <v>3</v>
      </c>
      <c r="F17" s="7" t="s">
        <v>161</v>
      </c>
      <c r="G17" s="7" t="s">
        <v>166</v>
      </c>
      <c r="H17" s="7">
        <v>4476</v>
      </c>
      <c r="I17" s="7" t="s">
        <v>167</v>
      </c>
      <c r="J17" s="7">
        <v>90</v>
      </c>
      <c r="K17" s="7">
        <v>-7.0448335525299903</v>
      </c>
      <c r="L17" s="7">
        <v>-0.26613467627788201</v>
      </c>
      <c r="M17" s="7">
        <v>3.3054146291187498</v>
      </c>
      <c r="N17" s="7">
        <v>-1.3959654801866199</v>
      </c>
      <c r="O17" s="7">
        <v>1.7084874162727399</v>
      </c>
      <c r="P17" s="7">
        <v>-2.8242103212069201</v>
      </c>
      <c r="Q17" s="7">
        <v>-12.948848365245301</v>
      </c>
      <c r="R17" s="7">
        <v>-0.32561148003426899</v>
      </c>
      <c r="S17" s="7">
        <v>-3.42941253709345E-2</v>
      </c>
      <c r="T17" s="7">
        <v>-13.7137573070753</v>
      </c>
      <c r="U17" s="7">
        <v>-0.32788500047923003</v>
      </c>
      <c r="V17" s="7">
        <v>-3.4305851325939898E-2</v>
      </c>
      <c r="W17" s="7">
        <v>-9.3459561431100102</v>
      </c>
      <c r="X17" s="7">
        <v>-7.3236162371164699</v>
      </c>
      <c r="Y17" s="7">
        <v>-8.2574715044853306</v>
      </c>
      <c r="Z17" s="7">
        <v>0.59370047996844799</v>
      </c>
      <c r="AA17" s="7">
        <v>0.59839428571689102</v>
      </c>
      <c r="AB17" s="7">
        <v>0.60182456424625497</v>
      </c>
      <c r="AC17" s="7">
        <v>0.33310812505503001</v>
      </c>
      <c r="AD17" s="7">
        <v>0.340474154422372</v>
      </c>
      <c r="AE17" s="7">
        <v>0.35628663412025402</v>
      </c>
      <c r="AF17" s="7">
        <v>-1.9714251792653601</v>
      </c>
      <c r="AG17" s="7">
        <v>-0.60957888589970599</v>
      </c>
      <c r="AH17" s="7">
        <v>9.1317131273204009</v>
      </c>
      <c r="AI17" s="7">
        <v>27.4036708592362</v>
      </c>
      <c r="AJ17" s="7">
        <v>25.7537059712873</v>
      </c>
      <c r="AK17" s="7">
        <v>24.564936512833899</v>
      </c>
      <c r="AL17" s="7">
        <f>AVERAGE(AK13:AK17)</f>
        <v>29.621028972531622</v>
      </c>
      <c r="AM17" s="17">
        <f>STDEV(AK13:AK17)/SQRT(COUNT(AK13:AK17))</f>
        <v>3.5363857626720572</v>
      </c>
    </row>
    <row r="18" spans="1:39" s="3" customFormat="1">
      <c r="A18" s="3">
        <v>4256</v>
      </c>
      <c r="B18" s="3" t="s">
        <v>0</v>
      </c>
      <c r="C18" s="3" t="s">
        <v>1</v>
      </c>
      <c r="D18" s="3" t="s">
        <v>7</v>
      </c>
      <c r="E18" s="3" t="s">
        <v>3</v>
      </c>
      <c r="F18" s="3" t="s">
        <v>8</v>
      </c>
      <c r="G18" s="3" t="s">
        <v>9</v>
      </c>
      <c r="H18" s="3">
        <v>4256</v>
      </c>
      <c r="I18" s="3" t="s">
        <v>10</v>
      </c>
      <c r="J18" s="3">
        <v>90</v>
      </c>
      <c r="K18" s="3">
        <v>-8.7647648604536297</v>
      </c>
      <c r="L18" s="3">
        <v>-0.58137230935495199</v>
      </c>
      <c r="M18" s="3">
        <v>1.6716755235177501</v>
      </c>
      <c r="N18" s="3">
        <v>-1.71414157458162</v>
      </c>
      <c r="O18" s="3">
        <v>-0.29706335533760397</v>
      </c>
      <c r="P18" s="3">
        <v>-3.4586241290836699</v>
      </c>
      <c r="Q18" s="3">
        <v>-29.244206999366199</v>
      </c>
      <c r="R18" s="3">
        <v>-0.34149540663287697</v>
      </c>
      <c r="S18" s="3">
        <v>-4.7375846262773198E-2</v>
      </c>
      <c r="T18" s="3">
        <v>-27.7137883108315</v>
      </c>
      <c r="U18" s="3">
        <v>-0.34113706661165</v>
      </c>
      <c r="V18" s="3">
        <v>-5.03486054939963E-2</v>
      </c>
      <c r="W18" s="3">
        <v>-18.014137339296099</v>
      </c>
      <c r="X18" s="3">
        <v>-9.0471146508753399</v>
      </c>
      <c r="Y18" s="3">
        <v>-8.5720924253411592</v>
      </c>
      <c r="Z18" s="3">
        <v>0.57965944906434597</v>
      </c>
      <c r="AA18" s="3">
        <v>0.58231376026564996</v>
      </c>
      <c r="AB18" s="3">
        <v>0.58350400365827004</v>
      </c>
      <c r="AC18" s="3">
        <v>0.32249533850031897</v>
      </c>
      <c r="AD18" s="3">
        <v>0.32114645199981601</v>
      </c>
      <c r="AE18" s="3">
        <v>0.31763821997814301</v>
      </c>
      <c r="AF18" s="3">
        <v>11.5857362046311</v>
      </c>
      <c r="AG18" s="3">
        <v>0.59054441600426599</v>
      </c>
      <c r="AH18" s="3">
        <v>-0.18841811524959501</v>
      </c>
      <c r="AI18" s="3">
        <v>32.507431848605897</v>
      </c>
      <c r="AJ18" s="3">
        <v>31.5226835900549</v>
      </c>
      <c r="AK18" s="3">
        <v>31.084184002636299</v>
      </c>
      <c r="AM18" s="16"/>
    </row>
    <row r="19" spans="1:39" s="3" customFormat="1">
      <c r="A19" s="3">
        <v>4332</v>
      </c>
      <c r="B19" s="3" t="s">
        <v>0</v>
      </c>
      <c r="C19" s="3" t="s">
        <v>1</v>
      </c>
      <c r="D19" s="3" t="s">
        <v>2</v>
      </c>
      <c r="E19" s="3" t="s">
        <v>3</v>
      </c>
      <c r="F19" s="3" t="s">
        <v>21</v>
      </c>
      <c r="G19" s="3" t="s">
        <v>22</v>
      </c>
      <c r="H19" s="3">
        <v>4332</v>
      </c>
      <c r="I19" s="3" t="s">
        <v>23</v>
      </c>
      <c r="J19" s="3">
        <v>90</v>
      </c>
      <c r="K19" s="3">
        <v>-8.9298036650183406</v>
      </c>
      <c r="L19" s="3">
        <v>-0.21613441125912</v>
      </c>
      <c r="M19" s="3">
        <v>1.52743964988312</v>
      </c>
      <c r="N19" s="3">
        <v>-1.3500106606361399</v>
      </c>
      <c r="O19" s="3">
        <v>-6.00282144272591E-2</v>
      </c>
      <c r="P19" s="3">
        <v>-2.8428878161005202</v>
      </c>
      <c r="Q19" s="3">
        <v>-23.634035516250599</v>
      </c>
      <c r="R19" s="3">
        <v>-0.33452056993335499</v>
      </c>
      <c r="S19" s="3">
        <v>-0.18031803569858501</v>
      </c>
      <c r="T19" s="3">
        <v>-22.696649343048399</v>
      </c>
      <c r="U19" s="3">
        <v>-0.33445169452268603</v>
      </c>
      <c r="V19" s="3">
        <v>-0.17995461250846001</v>
      </c>
      <c r="W19" s="3">
        <v>-14.887977115366199</v>
      </c>
      <c r="X19" s="3">
        <v>-9.2121534554400508</v>
      </c>
      <c r="Y19" s="3">
        <v>-8.2097994550451201</v>
      </c>
      <c r="Z19" s="3">
        <v>0.594070796145024</v>
      </c>
      <c r="AA19" s="3">
        <v>0.59157916957122303</v>
      </c>
      <c r="AB19" s="3">
        <v>0.58956010964980998</v>
      </c>
      <c r="AC19" s="3">
        <v>0.17628739281068501</v>
      </c>
      <c r="AD19" s="3">
        <v>0.17597676747238999</v>
      </c>
      <c r="AE19" s="3">
        <v>0.175192399780606</v>
      </c>
      <c r="AF19" s="3">
        <v>1.5415341010790999</v>
      </c>
      <c r="AG19" s="3">
        <v>1.07675301808024</v>
      </c>
      <c r="AH19" s="3">
        <v>0.82912817079438705</v>
      </c>
      <c r="AI19" s="3">
        <v>27.272503537702899</v>
      </c>
      <c r="AJ19" s="3">
        <v>28.158371924030199</v>
      </c>
      <c r="AK19" s="3">
        <v>28.8820015942247</v>
      </c>
      <c r="AM19" s="16"/>
    </row>
    <row r="20" spans="1:39" s="3" customFormat="1">
      <c r="A20" s="3">
        <v>4378</v>
      </c>
      <c r="B20" s="3" t="s">
        <v>0</v>
      </c>
      <c r="C20" s="3" t="s">
        <v>1</v>
      </c>
      <c r="D20" s="3" t="s">
        <v>2</v>
      </c>
      <c r="E20" s="3" t="s">
        <v>3</v>
      </c>
      <c r="F20" s="3" t="s">
        <v>57</v>
      </c>
      <c r="G20" s="3" t="s">
        <v>58</v>
      </c>
      <c r="H20" s="3">
        <v>4378</v>
      </c>
      <c r="I20" s="3" t="s">
        <v>59</v>
      </c>
      <c r="J20" s="3">
        <v>90</v>
      </c>
      <c r="K20" s="3">
        <v>-8.7607318208142999</v>
      </c>
      <c r="L20" s="3">
        <v>-0.35023264511707403</v>
      </c>
      <c r="M20" s="3">
        <v>1.68396610871743</v>
      </c>
      <c r="N20" s="3">
        <v>-1.4834809242709199</v>
      </c>
      <c r="O20" s="3">
        <v>-5.7626308005799001E-2</v>
      </c>
      <c r="P20" s="3">
        <v>-3.0927170022064701</v>
      </c>
      <c r="Q20" s="3">
        <v>-22.019525154312699</v>
      </c>
      <c r="R20" s="3">
        <v>-0.34716638723437898</v>
      </c>
      <c r="S20" s="3">
        <v>-0.135058399811636</v>
      </c>
      <c r="T20" s="3">
        <v>-20.955976620787599</v>
      </c>
      <c r="U20" s="3">
        <v>-0.34710232178869199</v>
      </c>
      <c r="V20" s="3">
        <v>-0.13281479894273601</v>
      </c>
      <c r="W20" s="3">
        <v>-13.6977736394599</v>
      </c>
      <c r="X20" s="3">
        <v>-9.0430816112360102</v>
      </c>
      <c r="Y20" s="3">
        <v>-8.3428164494729806</v>
      </c>
      <c r="Z20" s="3">
        <v>0.58471289999923703</v>
      </c>
      <c r="AA20" s="3">
        <v>0.57911362372645603</v>
      </c>
      <c r="AB20" s="3">
        <v>0.57509529060311404</v>
      </c>
      <c r="AC20" s="3">
        <v>0.23216385754978799</v>
      </c>
      <c r="AD20" s="3">
        <v>0.232646612670102</v>
      </c>
      <c r="AE20" s="3">
        <v>0.23593472375701199</v>
      </c>
      <c r="AF20" s="3">
        <v>-6.1440377698897201E-2</v>
      </c>
      <c r="AG20" s="3">
        <v>1.0075513894052099</v>
      </c>
      <c r="AH20" s="3">
        <v>1.29224791777716</v>
      </c>
      <c r="AI20" s="3">
        <v>30.6407448851147</v>
      </c>
      <c r="AJ20" s="3">
        <v>32.711119053231599</v>
      </c>
      <c r="AK20" s="3">
        <v>34.223291949399297</v>
      </c>
      <c r="AL20" s="3">
        <f>AVERAGE(AK18:AK20)</f>
        <v>31.396492515420096</v>
      </c>
      <c r="AM20" s="13">
        <f>STDEV(AK18:AK20)/SQRT(COUNT(AK18:AK20))</f>
        <v>1.5497847291304916</v>
      </c>
    </row>
    <row r="21" spans="1:39" s="7" customFormat="1">
      <c r="A21" s="7">
        <v>4255</v>
      </c>
      <c r="B21" s="7" t="s">
        <v>0</v>
      </c>
      <c r="C21" s="7" t="s">
        <v>1</v>
      </c>
      <c r="D21" s="7" t="s">
        <v>2</v>
      </c>
      <c r="E21" s="7" t="s">
        <v>3</v>
      </c>
      <c r="F21" s="7" t="s">
        <v>4</v>
      </c>
      <c r="G21" s="7" t="s">
        <v>5</v>
      </c>
      <c r="H21" s="7">
        <v>4255</v>
      </c>
      <c r="I21" s="7" t="s">
        <v>6</v>
      </c>
      <c r="J21" s="7">
        <v>90</v>
      </c>
      <c r="K21" s="7">
        <v>-6.9837720221160602</v>
      </c>
      <c r="L21" s="7">
        <v>-0.141879264674244</v>
      </c>
      <c r="M21" s="7">
        <v>3.3677168329484002</v>
      </c>
      <c r="N21" s="7">
        <v>-1.2718437434411001</v>
      </c>
      <c r="O21" s="7">
        <v>1.8720232478519101</v>
      </c>
      <c r="P21" s="7">
        <v>-2.6371850699879098</v>
      </c>
      <c r="Q21" s="7">
        <v>-26.132119854713299</v>
      </c>
      <c r="R21" s="7">
        <v>-0.35787030384844498</v>
      </c>
      <c r="S21" s="7">
        <v>-0.114828947134441</v>
      </c>
      <c r="T21" s="7">
        <v>-27.2069903994953</v>
      </c>
      <c r="U21" s="7">
        <v>-0.360129928792642</v>
      </c>
      <c r="V21" s="7">
        <v>-0.117129923526252</v>
      </c>
      <c r="W21" s="7">
        <v>-18.5391097819424</v>
      </c>
      <c r="X21" s="7">
        <v>-7.2661218125377696</v>
      </c>
      <c r="Y21" s="7">
        <v>-8.1361430306811204</v>
      </c>
      <c r="Z21" s="7">
        <v>0.55869515692187299</v>
      </c>
      <c r="AA21" s="7">
        <v>0.56148684535711102</v>
      </c>
      <c r="AB21" s="7">
        <v>0.56293882643125503</v>
      </c>
      <c r="AC21" s="7">
        <v>0.24595061741014801</v>
      </c>
      <c r="AD21" s="7">
        <v>0.244817720552506</v>
      </c>
      <c r="AE21" s="7">
        <v>0.24277732956121101</v>
      </c>
      <c r="AF21" s="7">
        <v>13.3400750662899</v>
      </c>
      <c r="AG21" s="7">
        <v>0.51590705932244496</v>
      </c>
      <c r="AH21" s="7">
        <v>-0.34443355794539998</v>
      </c>
      <c r="AI21" s="7">
        <v>40.636053954841103</v>
      </c>
      <c r="AJ21" s="7">
        <v>39.516076998118301</v>
      </c>
      <c r="AK21" s="7">
        <v>38.938287886750899</v>
      </c>
      <c r="AM21" s="17"/>
    </row>
    <row r="22" spans="1:39" s="7" customFormat="1">
      <c r="A22" s="7">
        <v>4402</v>
      </c>
      <c r="B22" s="7" t="s">
        <v>0</v>
      </c>
      <c r="C22" s="7" t="s">
        <v>1</v>
      </c>
      <c r="D22" s="7" t="s">
        <v>2</v>
      </c>
      <c r="E22" s="7" t="s">
        <v>3</v>
      </c>
      <c r="F22" s="7" t="s">
        <v>129</v>
      </c>
      <c r="G22" s="8" t="s">
        <v>141</v>
      </c>
      <c r="H22" s="7">
        <v>4402</v>
      </c>
      <c r="I22" s="7" t="s">
        <v>130</v>
      </c>
      <c r="J22" s="7">
        <v>90</v>
      </c>
      <c r="K22" s="7">
        <v>-7.4647205814790798</v>
      </c>
      <c r="L22" s="7">
        <v>-0.32835621938106602</v>
      </c>
      <c r="M22" s="7">
        <v>2.90722664638204</v>
      </c>
      <c r="N22" s="7">
        <v>-1.45893515729217</v>
      </c>
      <c r="O22" s="7">
        <v>1.22723484061493</v>
      </c>
      <c r="P22" s="7">
        <v>-3.02442281276856</v>
      </c>
      <c r="Q22" s="7">
        <v>-24.9596817534885</v>
      </c>
      <c r="R22" s="7">
        <v>-0.34011980596583802</v>
      </c>
      <c r="S22" s="7">
        <v>-0.120392692937854</v>
      </c>
      <c r="T22" s="7">
        <v>-25.192882675945299</v>
      </c>
      <c r="U22" s="7">
        <v>-0.34150779109400797</v>
      </c>
      <c r="V22" s="7">
        <v>-0.117384842311681</v>
      </c>
      <c r="W22" s="7">
        <v>-17.029433786317998</v>
      </c>
      <c r="X22" s="7">
        <v>-7.7462984748526003</v>
      </c>
      <c r="Y22" s="7">
        <v>-8.3218506691549905</v>
      </c>
      <c r="Z22" s="7">
        <v>0.59288488820585195</v>
      </c>
      <c r="AA22" s="7">
        <v>0.58623757157610501</v>
      </c>
      <c r="AB22" s="7">
        <v>0.58157586183979404</v>
      </c>
      <c r="AC22" s="7">
        <v>0.25078735964314902</v>
      </c>
      <c r="AD22" s="7">
        <v>0.25018620113387602</v>
      </c>
      <c r="AE22" s="7">
        <v>0.25810075783123498</v>
      </c>
      <c r="AF22" s="7">
        <v>3.7341323658300598</v>
      </c>
      <c r="AG22" s="7">
        <v>1.3632457598052801</v>
      </c>
      <c r="AH22" s="7">
        <v>0.179904695886003</v>
      </c>
      <c r="AI22" s="7">
        <v>27.693163338548899</v>
      </c>
      <c r="AJ22" s="7">
        <v>30.084230368555399</v>
      </c>
      <c r="AK22" s="7">
        <v>31.795487986739101</v>
      </c>
      <c r="AL22" s="7">
        <f>AVERAGE(AK21:AK22)</f>
        <v>35.366887936745002</v>
      </c>
      <c r="AM22" s="17">
        <f>STDEV(AK21:AK22)/SQRT(COUNT(AK21:AK22))</f>
        <v>3.5713999500058824</v>
      </c>
    </row>
    <row r="23" spans="1:39" s="3" customFormat="1">
      <c r="A23" s="3">
        <v>4338</v>
      </c>
      <c r="B23" s="3" t="s">
        <v>0</v>
      </c>
      <c r="C23" s="3" t="s">
        <v>1</v>
      </c>
      <c r="D23" s="3" t="s">
        <v>14</v>
      </c>
      <c r="E23" s="3" t="s">
        <v>3</v>
      </c>
      <c r="F23" s="3" t="s">
        <v>34</v>
      </c>
      <c r="G23" s="3" t="s">
        <v>35</v>
      </c>
      <c r="H23" s="3">
        <v>4338</v>
      </c>
      <c r="I23" s="3" t="s">
        <v>36</v>
      </c>
      <c r="J23" s="3">
        <v>90</v>
      </c>
      <c r="K23" s="3">
        <v>-8.2851862175639504</v>
      </c>
      <c r="L23" s="3">
        <v>-0.43614821864209402</v>
      </c>
      <c r="M23" s="3">
        <v>2.13072307833276</v>
      </c>
      <c r="N23" s="3">
        <v>-1.5681948088653701</v>
      </c>
      <c r="O23" s="3">
        <v>0.31636229590134501</v>
      </c>
      <c r="P23" s="3">
        <v>-3.1903966469288898</v>
      </c>
      <c r="Q23" s="3">
        <v>-21.085059186996801</v>
      </c>
      <c r="R23" s="3">
        <v>-0.3621459739167</v>
      </c>
      <c r="S23" s="3">
        <v>-9.95804602077488E-2</v>
      </c>
      <c r="T23" s="3">
        <v>-20.380439501382199</v>
      </c>
      <c r="U23" s="3">
        <v>-0.36250749208784899</v>
      </c>
      <c r="V23" s="3">
        <v>-9.8923924001656796E-2</v>
      </c>
      <c r="W23" s="3">
        <v>-13.416075414951299</v>
      </c>
      <c r="X23" s="3">
        <v>-8.5675360079856606</v>
      </c>
      <c r="Y23" s="3">
        <v>-8.4280392822877808</v>
      </c>
      <c r="Z23" s="3">
        <v>0.56436644553951498</v>
      </c>
      <c r="AA23" s="3">
        <v>0.56141799393644998</v>
      </c>
      <c r="AB23" s="3">
        <v>0.55901170737394701</v>
      </c>
      <c r="AC23" s="3">
        <v>0.26985414875283498</v>
      </c>
      <c r="AD23" s="3">
        <v>0.26999105685424202</v>
      </c>
      <c r="AE23" s="3">
        <v>0.27300151479224</v>
      </c>
      <c r="AF23" s="3">
        <v>-0.75906505036618899</v>
      </c>
      <c r="AG23" s="3">
        <v>1.06787525006545</v>
      </c>
      <c r="AH23" s="3">
        <v>1.31272531156576</v>
      </c>
      <c r="AI23" s="3">
        <v>38.373304831830097</v>
      </c>
      <c r="AJ23" s="3">
        <v>39.543554906898301</v>
      </c>
      <c r="AK23" s="3">
        <v>40.5084541199111</v>
      </c>
      <c r="AM23" s="16"/>
    </row>
    <row r="24" spans="1:39" s="3" customFormat="1">
      <c r="A24" s="3">
        <v>4375</v>
      </c>
      <c r="B24" s="3" t="s">
        <v>0</v>
      </c>
      <c r="C24" s="3" t="s">
        <v>1</v>
      </c>
      <c r="D24" s="3" t="s">
        <v>2</v>
      </c>
      <c r="E24" s="3" t="s">
        <v>3</v>
      </c>
      <c r="F24" s="3" t="s">
        <v>51</v>
      </c>
      <c r="G24" s="3" t="s">
        <v>52</v>
      </c>
      <c r="H24" s="3">
        <v>4375</v>
      </c>
      <c r="I24" s="3" t="s">
        <v>53</v>
      </c>
      <c r="J24" s="3">
        <v>90</v>
      </c>
      <c r="K24" s="3">
        <v>-8.2425356547193598</v>
      </c>
      <c r="L24" s="3">
        <v>-0.436648121811058</v>
      </c>
      <c r="M24" s="3">
        <v>2.1654100431932699</v>
      </c>
      <c r="N24" s="3">
        <v>-1.5686242565775601</v>
      </c>
      <c r="O24" s="3">
        <v>0.37476865985935798</v>
      </c>
      <c r="P24" s="3">
        <v>-3.2886402624928999</v>
      </c>
      <c r="Q24" s="3">
        <v>-16.964722039491601</v>
      </c>
      <c r="R24" s="3">
        <v>-0.34294145648722502</v>
      </c>
      <c r="S24" s="3">
        <v>-0.15754602817764099</v>
      </c>
      <c r="T24" s="3">
        <v>-16.268227082022801</v>
      </c>
      <c r="U24" s="3">
        <v>-0.34335897282885097</v>
      </c>
      <c r="V24" s="3">
        <v>-0.155288468914139</v>
      </c>
      <c r="W24" s="3">
        <v>-10.675361492297499</v>
      </c>
      <c r="X24" s="3">
        <v>-8.5248854451410701</v>
      </c>
      <c r="Y24" s="3">
        <v>-8.4285351547174994</v>
      </c>
      <c r="Z24" s="3">
        <v>0.58843823287233998</v>
      </c>
      <c r="AA24" s="3">
        <v>0.58305467540424005</v>
      </c>
      <c r="AB24" s="3">
        <v>0.57920975714601997</v>
      </c>
      <c r="AC24" s="3">
        <v>0.20609110295448399</v>
      </c>
      <c r="AD24" s="3">
        <v>0.20634518759293799</v>
      </c>
      <c r="AE24" s="3">
        <v>0.20762298393918199</v>
      </c>
      <c r="AF24" s="3">
        <v>-3.9091638569826701</v>
      </c>
      <c r="AG24" s="3">
        <v>0.78352089030184802</v>
      </c>
      <c r="AH24" s="3">
        <v>2.3046428043080001</v>
      </c>
      <c r="AI24" s="3">
        <v>29.286341584847602</v>
      </c>
      <c r="AJ24" s="3">
        <v>31.2494992297793</v>
      </c>
      <c r="AK24" s="3">
        <v>32.6752151251697</v>
      </c>
      <c r="AM24" s="16"/>
    </row>
    <row r="25" spans="1:39" s="3" customFormat="1">
      <c r="A25" s="3">
        <v>4383</v>
      </c>
      <c r="B25" s="3" t="s">
        <v>0</v>
      </c>
      <c r="C25" s="3" t="s">
        <v>1</v>
      </c>
      <c r="D25" s="3" t="s">
        <v>2</v>
      </c>
      <c r="E25" s="3" t="s">
        <v>3</v>
      </c>
      <c r="F25" s="3" t="s">
        <v>66</v>
      </c>
      <c r="G25" s="3" t="s">
        <v>67</v>
      </c>
      <c r="H25" s="3">
        <v>4383</v>
      </c>
      <c r="I25" s="3" t="s">
        <v>68</v>
      </c>
      <c r="J25" s="3">
        <v>90</v>
      </c>
      <c r="K25" s="3">
        <v>-8.2622543867011107</v>
      </c>
      <c r="L25" s="3">
        <v>-0.44334465934629003</v>
      </c>
      <c r="M25" s="3">
        <v>2.1510561618052</v>
      </c>
      <c r="N25" s="3">
        <v>-1.5753475745929999</v>
      </c>
      <c r="O25" s="3">
        <v>0.330239561632587</v>
      </c>
      <c r="P25" s="3">
        <v>-3.2909012263878501</v>
      </c>
      <c r="Q25" s="3">
        <v>-13.489198181612799</v>
      </c>
      <c r="R25" s="3">
        <v>-0.349581763649776</v>
      </c>
      <c r="S25" s="3">
        <v>-0.16474894821661701</v>
      </c>
      <c r="T25" s="3">
        <v>-12.7284023294982</v>
      </c>
      <c r="U25" s="3">
        <v>-0.34994762455332401</v>
      </c>
      <c r="V25" s="3">
        <v>-0.16214780598977399</v>
      </c>
      <c r="W25" s="3">
        <v>-8.2831493362816904</v>
      </c>
      <c r="X25" s="3">
        <v>-8.5446041771228192</v>
      </c>
      <c r="Y25" s="3">
        <v>-8.4351776978024198</v>
      </c>
      <c r="Z25" s="3">
        <v>0.58213775852036198</v>
      </c>
      <c r="AA25" s="3">
        <v>0.57619220254160097</v>
      </c>
      <c r="AB25" s="3">
        <v>0.57192391516057495</v>
      </c>
      <c r="AC25" s="3">
        <v>0.198419427875483</v>
      </c>
      <c r="AD25" s="3">
        <v>0.198696598472556</v>
      </c>
      <c r="AE25" s="3">
        <v>0.19956865522895001</v>
      </c>
      <c r="AF25" s="3">
        <v>-6.6400736341829401</v>
      </c>
      <c r="AG25" s="3">
        <v>0.51301417890782097</v>
      </c>
      <c r="AH25" s="3">
        <v>3.14158997990448</v>
      </c>
      <c r="AI25" s="3">
        <v>31.587685740842598</v>
      </c>
      <c r="AJ25" s="3">
        <v>33.808279509174803</v>
      </c>
      <c r="AK25" s="3">
        <v>35.432704906417499</v>
      </c>
      <c r="AL25" s="3">
        <f>AVERAGE(AK23:AK25)</f>
        <v>36.205458050499438</v>
      </c>
      <c r="AM25" s="13">
        <f>STDEV(AK23:AK25)/SQRT(COUNT(AK23:AK25))</f>
        <v>2.2940334822789534</v>
      </c>
    </row>
    <row r="26" spans="1:39" s="7" customFormat="1">
      <c r="A26" s="7">
        <v>4339</v>
      </c>
      <c r="B26" s="7" t="s">
        <v>0</v>
      </c>
      <c r="C26" s="7" t="s">
        <v>1</v>
      </c>
      <c r="D26" s="7" t="s">
        <v>14</v>
      </c>
      <c r="E26" s="7" t="s">
        <v>3</v>
      </c>
      <c r="F26" s="7" t="s">
        <v>37</v>
      </c>
      <c r="G26" s="7" t="s">
        <v>38</v>
      </c>
      <c r="H26" s="7">
        <v>4339</v>
      </c>
      <c r="I26" s="7" t="s">
        <v>39</v>
      </c>
      <c r="J26" s="7">
        <v>90</v>
      </c>
      <c r="K26" s="7">
        <v>-6.8881662548753004</v>
      </c>
      <c r="L26" s="7">
        <v>-1.34445572441214</v>
      </c>
      <c r="M26" s="7">
        <v>3.41642223810479</v>
      </c>
      <c r="N26" s="7">
        <v>-2.4716604327196499</v>
      </c>
      <c r="O26" s="7">
        <v>0.74293307709708001</v>
      </c>
      <c r="P26" s="7">
        <v>-5.1109630177827396</v>
      </c>
      <c r="Q26" s="7">
        <v>-26.357972705093399</v>
      </c>
      <c r="R26" s="7">
        <v>-0.37188303452413102</v>
      </c>
      <c r="S26" s="7">
        <v>-0.18872332610318501</v>
      </c>
      <c r="T26" s="7">
        <v>-25.2180471308363</v>
      </c>
      <c r="U26" s="7">
        <v>-0.372731434243119</v>
      </c>
      <c r="V26" s="7">
        <v>-0.18760516662999099</v>
      </c>
      <c r="W26" s="7">
        <v>-16.5124907668852</v>
      </c>
      <c r="X26" s="7">
        <v>-7.1705160452970098</v>
      </c>
      <c r="Y26" s="7">
        <v>-9.3290230682617299</v>
      </c>
      <c r="Z26" s="7">
        <v>0.55344254642469903</v>
      </c>
      <c r="AA26" s="7">
        <v>0.55040448428800604</v>
      </c>
      <c r="AB26" s="7">
        <v>0.54789713759557401</v>
      </c>
      <c r="AC26" s="7">
        <v>0.16768080809784799</v>
      </c>
      <c r="AD26" s="7">
        <v>0.16738873898034301</v>
      </c>
      <c r="AE26" s="7">
        <v>0.16623432100028901</v>
      </c>
      <c r="AF26" s="7">
        <v>4.0230824671467298</v>
      </c>
      <c r="AG26" s="7">
        <v>1.1001035483688999</v>
      </c>
      <c r="AH26" s="7">
        <v>0.31209899230750698</v>
      </c>
      <c r="AI26" s="7">
        <v>42.776346522905598</v>
      </c>
      <c r="AJ26" s="7">
        <v>44.034442020638203</v>
      </c>
      <c r="AK26" s="7">
        <v>45.084160970701603</v>
      </c>
      <c r="AM26" s="17"/>
    </row>
    <row r="27" spans="1:39" s="7" customFormat="1">
      <c r="A27" s="7">
        <v>4405</v>
      </c>
      <c r="B27" s="7" t="s">
        <v>0</v>
      </c>
      <c r="C27" s="7" t="s">
        <v>1</v>
      </c>
      <c r="D27" s="7" t="s">
        <v>2</v>
      </c>
      <c r="E27" s="7" t="s">
        <v>3</v>
      </c>
      <c r="F27" s="7" t="s">
        <v>134</v>
      </c>
      <c r="G27" s="7" t="s">
        <v>135</v>
      </c>
      <c r="H27" s="7">
        <v>4405</v>
      </c>
      <c r="I27" s="7" t="s">
        <v>136</v>
      </c>
      <c r="J27" s="7">
        <v>90</v>
      </c>
      <c r="K27" s="7">
        <v>-6.6634790509276902</v>
      </c>
      <c r="L27" s="7">
        <v>-1.54162310761615</v>
      </c>
      <c r="M27" s="7">
        <v>3.6207596477784398</v>
      </c>
      <c r="N27" s="7">
        <v>-2.6679520682951399</v>
      </c>
      <c r="O27" s="7">
        <v>0.73485635081710898</v>
      </c>
      <c r="P27" s="7">
        <v>-5.4626783413328104</v>
      </c>
      <c r="Q27" s="7">
        <v>-20.917120860011</v>
      </c>
      <c r="R27" s="7">
        <v>-0.375155930557933</v>
      </c>
      <c r="S27" s="7">
        <v>-0.146209499244776</v>
      </c>
      <c r="T27" s="7">
        <v>-19.562652163978399</v>
      </c>
      <c r="U27" s="7">
        <v>-0.37598563133041202</v>
      </c>
      <c r="V27" s="7">
        <v>-0.14056634251497499</v>
      </c>
      <c r="W27" s="7">
        <v>-12.722929799457299</v>
      </c>
      <c r="X27" s="7">
        <v>-6.9450569443012098</v>
      </c>
      <c r="Y27" s="7">
        <v>-9.5253349378797498</v>
      </c>
      <c r="Z27" s="7">
        <v>0.55652827860050202</v>
      </c>
      <c r="AA27" s="7">
        <v>0.54950838225569099</v>
      </c>
      <c r="AB27" s="7">
        <v>0.54415119810228896</v>
      </c>
      <c r="AC27" s="7">
        <v>0.22404804787643201</v>
      </c>
      <c r="AD27" s="7">
        <v>0.22311976980598899</v>
      </c>
      <c r="AE27" s="7">
        <v>0.22687843461028201</v>
      </c>
      <c r="AF27" s="7">
        <v>-1.0589966443674499</v>
      </c>
      <c r="AG27" s="7">
        <v>0.84025969945097401</v>
      </c>
      <c r="AH27" s="7">
        <v>1.6704682894267799</v>
      </c>
      <c r="AI27" s="7">
        <v>41.513712897614703</v>
      </c>
      <c r="AJ27" s="7">
        <v>44.408407794350602</v>
      </c>
      <c r="AK27" s="7">
        <v>46.672025302922997</v>
      </c>
      <c r="AM27" s="17"/>
    </row>
    <row r="28" spans="1:39" s="7" customFormat="1">
      <c r="A28" s="7">
        <v>4407</v>
      </c>
      <c r="B28" s="7" t="s">
        <v>0</v>
      </c>
      <c r="C28" s="7" t="s">
        <v>1</v>
      </c>
      <c r="D28" s="7" t="s">
        <v>2</v>
      </c>
      <c r="E28" s="7" t="s">
        <v>3</v>
      </c>
      <c r="F28" s="7" t="s">
        <v>138</v>
      </c>
      <c r="G28" s="7" t="s">
        <v>139</v>
      </c>
      <c r="H28" s="7">
        <v>4407</v>
      </c>
      <c r="I28" s="7" t="s">
        <v>140</v>
      </c>
      <c r="J28" s="7">
        <v>90</v>
      </c>
      <c r="K28" s="7">
        <v>-6.7089021157556896</v>
      </c>
      <c r="L28" s="7">
        <v>-1.5379898503716201</v>
      </c>
      <c r="M28" s="7">
        <v>3.57807598157892</v>
      </c>
      <c r="N28" s="7">
        <v>-2.66442129137205</v>
      </c>
      <c r="O28" s="7">
        <v>0.67645992808625799</v>
      </c>
      <c r="P28" s="7">
        <v>-5.4570968095774299</v>
      </c>
      <c r="Q28" s="7">
        <v>-25.032790237933</v>
      </c>
      <c r="R28" s="7">
        <v>-0.38276344721391897</v>
      </c>
      <c r="S28" s="7">
        <v>-0.15055456009932799</v>
      </c>
      <c r="T28" s="7">
        <v>-23.6492921572647</v>
      </c>
      <c r="U28" s="7">
        <v>-0.38352634851795397</v>
      </c>
      <c r="V28" s="7">
        <v>-0.14477703870910699</v>
      </c>
      <c r="W28" s="7">
        <v>-15.4650129380324</v>
      </c>
      <c r="X28" s="7">
        <v>-6.9904800091292101</v>
      </c>
      <c r="Y28" s="7">
        <v>-9.5217309757339503</v>
      </c>
      <c r="Z28" s="7">
        <v>0.54871745623786905</v>
      </c>
      <c r="AA28" s="7">
        <v>0.54152590405614598</v>
      </c>
      <c r="AB28" s="7">
        <v>0.53594740574100497</v>
      </c>
      <c r="AC28" s="7">
        <v>0.21923812819170799</v>
      </c>
      <c r="AD28" s="7">
        <v>0.218256542518283</v>
      </c>
      <c r="AE28" s="7">
        <v>0.221301711582372</v>
      </c>
      <c r="AF28" s="7">
        <v>1.9620138600782799</v>
      </c>
      <c r="AG28" s="7">
        <v>1.18198737453783</v>
      </c>
      <c r="AH28" s="7">
        <v>0.72497316860300398</v>
      </c>
      <c r="AI28" s="7">
        <v>44.739582303005797</v>
      </c>
      <c r="AJ28" s="7">
        <v>47.7991328969959</v>
      </c>
      <c r="AK28" s="7">
        <v>50.234239739384002</v>
      </c>
      <c r="AL28" s="7">
        <f>AVERAGE(AK26:AK28)</f>
        <v>47.330142004336203</v>
      </c>
      <c r="AM28" s="17">
        <f>STDEV(AK26:AK28)/SQRT(COUNT(AK26:AK28))</f>
        <v>1.5226803150385342</v>
      </c>
    </row>
    <row r="29" spans="1:39" s="7" customFormat="1">
      <c r="A29" s="7">
        <v>4480</v>
      </c>
      <c r="B29" s="7" t="s">
        <v>0</v>
      </c>
      <c r="C29" s="7" t="s">
        <v>1</v>
      </c>
      <c r="D29" s="7" t="s">
        <v>2</v>
      </c>
      <c r="E29" s="7" t="s">
        <v>3</v>
      </c>
      <c r="F29" s="7" t="s">
        <v>171</v>
      </c>
      <c r="G29" s="7" t="s">
        <v>172</v>
      </c>
      <c r="H29" s="7">
        <v>4480</v>
      </c>
      <c r="I29" s="7" t="s">
        <v>173</v>
      </c>
      <c r="J29" s="7">
        <v>90</v>
      </c>
      <c r="K29" s="7">
        <v>-6.5649532324092101</v>
      </c>
      <c r="L29" s="7">
        <v>-1.2350451983416899</v>
      </c>
      <c r="M29" s="7">
        <v>3.72435710780573</v>
      </c>
      <c r="N29" s="7">
        <v>-2.3618174673123198</v>
      </c>
      <c r="O29" s="7">
        <v>1.18330131103768</v>
      </c>
      <c r="P29" s="7">
        <v>-4.86953193884613</v>
      </c>
      <c r="Q29" s="7">
        <v>-18.885412586578099</v>
      </c>
      <c r="R29" s="7">
        <v>-0.33198635285532901</v>
      </c>
      <c r="S29" s="7">
        <v>-0.15574426853725301</v>
      </c>
      <c r="T29" s="7">
        <v>-18.221950552622602</v>
      </c>
      <c r="U29" s="7">
        <v>-0.33356061097190898</v>
      </c>
      <c r="V29" s="7">
        <v>-0.15560928461083401</v>
      </c>
      <c r="W29" s="7">
        <v>-11.8511698035725</v>
      </c>
      <c r="X29" s="7">
        <v>-6.8437359169956897</v>
      </c>
      <c r="Y29" s="7">
        <v>-9.2185696622055797</v>
      </c>
      <c r="Z29" s="7">
        <v>0.58764572679642801</v>
      </c>
      <c r="AA29" s="7">
        <v>0.59226686918558902</v>
      </c>
      <c r="AB29" s="7">
        <v>0.59570404297646895</v>
      </c>
      <c r="AC29" s="7">
        <v>0.19155615225375899</v>
      </c>
      <c r="AD29" s="7">
        <v>0.19800723764505701</v>
      </c>
      <c r="AE29" s="7">
        <v>0.205322837112101</v>
      </c>
      <c r="AF29" s="7">
        <v>0.168566448934381</v>
      </c>
      <c r="AG29" s="7">
        <v>0.329545454409644</v>
      </c>
      <c r="AH29" s="7">
        <v>5.63299469773622</v>
      </c>
      <c r="AI29" s="7">
        <v>29.572952530420999</v>
      </c>
      <c r="AJ29" s="7">
        <v>27.9130857685163</v>
      </c>
      <c r="AK29" s="7">
        <v>26.696043732939</v>
      </c>
      <c r="AM29" s="17"/>
    </row>
    <row r="30" spans="1:39" s="7" customFormat="1">
      <c r="A30" s="7">
        <v>4482</v>
      </c>
      <c r="B30" s="7" t="s">
        <v>0</v>
      </c>
      <c r="C30" s="8" t="s">
        <v>177</v>
      </c>
      <c r="D30" s="7" t="s">
        <v>2</v>
      </c>
      <c r="E30" s="7" t="s">
        <v>3</v>
      </c>
      <c r="F30" s="7" t="s">
        <v>171</v>
      </c>
      <c r="G30" s="7" t="s">
        <v>175</v>
      </c>
      <c r="H30" s="7">
        <v>4482</v>
      </c>
      <c r="I30" s="7" t="s">
        <v>176</v>
      </c>
      <c r="J30" s="7">
        <v>90</v>
      </c>
      <c r="K30" s="7">
        <v>-6.5160033824257102</v>
      </c>
      <c r="L30" s="7">
        <v>-1.371246967494</v>
      </c>
      <c r="M30" s="7">
        <v>3.7657876740203502</v>
      </c>
      <c r="N30" s="7">
        <v>-2.4976283728014002</v>
      </c>
      <c r="O30" s="7">
        <v>1.0673620077509001</v>
      </c>
      <c r="P30" s="7">
        <v>-5.0575760825259897</v>
      </c>
      <c r="Q30" s="7">
        <v>-21.0610492769143</v>
      </c>
      <c r="R30" s="7">
        <v>-0.35700600215677603</v>
      </c>
      <c r="S30" s="7">
        <v>-7.4547012039780106E-2</v>
      </c>
      <c r="T30" s="7">
        <v>-20.181058243942299</v>
      </c>
      <c r="U30" s="7">
        <v>-0.35842584109992298</v>
      </c>
      <c r="V30" s="7">
        <v>-7.4326217866543906E-2</v>
      </c>
      <c r="W30" s="7">
        <v>-13.0760690994135</v>
      </c>
      <c r="X30" s="7">
        <v>-6.7947860670121898</v>
      </c>
      <c r="Y30" s="7">
        <v>-9.3536732310384192</v>
      </c>
      <c r="Z30" s="7">
        <v>0.560535922558971</v>
      </c>
      <c r="AA30" s="7">
        <v>0.56520716622322498</v>
      </c>
      <c r="AB30" s="7">
        <v>0.56884793482166596</v>
      </c>
      <c r="AC30" s="7">
        <v>0.28636026291779898</v>
      </c>
      <c r="AD30" s="7">
        <v>0.29358075627758301</v>
      </c>
      <c r="AE30" s="7">
        <v>0.30720142853756399</v>
      </c>
      <c r="AF30" s="7">
        <v>1.1974592421038199</v>
      </c>
      <c r="AG30" s="7">
        <v>0.78558859819482796</v>
      </c>
      <c r="AH30" s="7">
        <v>3.7686402694355499</v>
      </c>
      <c r="AI30" s="7">
        <v>39.896222852595699</v>
      </c>
      <c r="AJ30" s="7">
        <v>38.042020122541402</v>
      </c>
      <c r="AK30" s="7">
        <v>36.619482404257901</v>
      </c>
      <c r="AL30" s="7">
        <f>AVERAGE(AK26:AK30)</f>
        <v>41.061190430041094</v>
      </c>
      <c r="AM30" s="17">
        <f>STDEV(AK26:AK30)/SQRT(COUNT(AK26:AK30))</f>
        <v>4.2302293282337402</v>
      </c>
    </row>
    <row r="31" spans="1:39" s="3" customFormat="1">
      <c r="A31" s="3">
        <v>4333</v>
      </c>
      <c r="B31" s="3" t="s">
        <v>0</v>
      </c>
      <c r="C31" s="3" t="s">
        <v>1</v>
      </c>
      <c r="D31" s="3" t="s">
        <v>24</v>
      </c>
      <c r="E31" s="3" t="s">
        <v>3</v>
      </c>
      <c r="F31" s="3" t="s">
        <v>25</v>
      </c>
      <c r="G31" s="3" t="s">
        <v>26</v>
      </c>
      <c r="H31" s="3">
        <v>4333</v>
      </c>
      <c r="I31" s="3" t="s">
        <v>27</v>
      </c>
      <c r="J31" s="3">
        <v>90</v>
      </c>
      <c r="K31" s="3">
        <v>-9.9479859423419494</v>
      </c>
      <c r="L31" s="3">
        <v>-1.7495875989986001</v>
      </c>
      <c r="M31" s="3">
        <v>0.51306629144931004</v>
      </c>
      <c r="N31" s="3">
        <v>-2.8823417811538099</v>
      </c>
      <c r="O31" s="3">
        <v>-2.66967910253944</v>
      </c>
      <c r="P31" s="3">
        <v>-5.8609648781592902</v>
      </c>
      <c r="Q31" s="3">
        <v>-36.422416813843</v>
      </c>
      <c r="R31" s="3">
        <v>-0.384592723797619</v>
      </c>
      <c r="S31" s="3">
        <v>-0.11635856798958601</v>
      </c>
      <c r="T31" s="3">
        <v>-31.557730508478802</v>
      </c>
      <c r="U31" s="3">
        <v>-0.381531645481405</v>
      </c>
      <c r="V31" s="3">
        <v>-0.115533183198259</v>
      </c>
      <c r="W31" s="3">
        <v>-19.524396780265501</v>
      </c>
      <c r="X31" s="3">
        <v>-10.230335732763701</v>
      </c>
      <c r="Y31" s="3">
        <v>-9.7308883483181496</v>
      </c>
      <c r="Z31" s="3">
        <v>0.543339746498542</v>
      </c>
      <c r="AA31" s="3">
        <v>0.54070076678814005</v>
      </c>
      <c r="AB31" s="3">
        <v>0.53844475162389205</v>
      </c>
      <c r="AC31" s="3">
        <v>0.25053474250378199</v>
      </c>
      <c r="AD31" s="3">
        <v>0.25051767906477801</v>
      </c>
      <c r="AE31" s="3">
        <v>0.25245482198438701</v>
      </c>
      <c r="AF31" s="3">
        <v>8.9490647911648509</v>
      </c>
      <c r="AG31" s="3">
        <v>1.07813657401575</v>
      </c>
      <c r="AH31" s="3">
        <v>-0.66094552009822904</v>
      </c>
      <c r="AI31" s="3">
        <v>47.019134031811703</v>
      </c>
      <c r="AJ31" s="3">
        <v>48.155854683997099</v>
      </c>
      <c r="AK31" s="3">
        <v>49.137275890763704</v>
      </c>
      <c r="AM31" s="16"/>
    </row>
    <row r="32" spans="1:39" s="3" customFormat="1">
      <c r="A32" s="3">
        <v>4377</v>
      </c>
      <c r="B32" s="3" t="s">
        <v>0</v>
      </c>
      <c r="C32" s="3" t="s">
        <v>1</v>
      </c>
      <c r="D32" s="3" t="s">
        <v>2</v>
      </c>
      <c r="E32" s="3" t="s">
        <v>3</v>
      </c>
      <c r="F32" s="3" t="s">
        <v>54</v>
      </c>
      <c r="G32" s="3" t="s">
        <v>55</v>
      </c>
      <c r="H32" s="3">
        <v>4377</v>
      </c>
      <c r="I32" s="3" t="s">
        <v>56</v>
      </c>
      <c r="J32" s="3">
        <v>90</v>
      </c>
      <c r="K32" s="3">
        <v>-9.9390600013603496</v>
      </c>
      <c r="L32" s="3">
        <v>-1.84798721699165</v>
      </c>
      <c r="M32" s="3">
        <v>0.51758773179805395</v>
      </c>
      <c r="N32" s="3">
        <v>-2.9805158435869901</v>
      </c>
      <c r="O32" s="3">
        <v>-2.7318881273979199</v>
      </c>
      <c r="P32" s="3">
        <v>-6.0631338169778504</v>
      </c>
      <c r="Q32" s="3">
        <v>-28.829218079560199</v>
      </c>
      <c r="R32" s="3">
        <v>-0.36564271931037501</v>
      </c>
      <c r="S32" s="3">
        <v>-0.12993114198869599</v>
      </c>
      <c r="T32" s="3">
        <v>-23.741858896810701</v>
      </c>
      <c r="U32" s="3">
        <v>-0.36260345435338898</v>
      </c>
      <c r="V32" s="3">
        <v>-0.125611431916407</v>
      </c>
      <c r="W32" s="3">
        <v>-14.2385207487415</v>
      </c>
      <c r="X32" s="3">
        <v>-10.221409791782101</v>
      </c>
      <c r="Y32" s="3">
        <v>-9.8284945662505194</v>
      </c>
      <c r="Z32" s="3">
        <v>0.56805061434206605</v>
      </c>
      <c r="AA32" s="3">
        <v>0.56245178397379803</v>
      </c>
      <c r="AB32" s="3">
        <v>0.55827114268883604</v>
      </c>
      <c r="AC32" s="3">
        <v>0.240454753582899</v>
      </c>
      <c r="AD32" s="3">
        <v>0.240986919322662</v>
      </c>
      <c r="AE32" s="3">
        <v>0.244836087829714</v>
      </c>
      <c r="AF32" s="3">
        <v>0.61213315693799297</v>
      </c>
      <c r="AG32" s="3">
        <v>1.05214806152178</v>
      </c>
      <c r="AH32" s="3">
        <v>1.10787934965403</v>
      </c>
      <c r="AI32" s="3">
        <v>36.929346531199002</v>
      </c>
      <c r="AJ32" s="3">
        <v>39.131740287643701</v>
      </c>
      <c r="AK32" s="3">
        <v>40.807216135161099</v>
      </c>
      <c r="AM32" s="13"/>
    </row>
    <row r="33" spans="1:39" s="3" customFormat="1">
      <c r="A33" s="3">
        <v>4404</v>
      </c>
      <c r="B33" s="3" t="s">
        <v>0</v>
      </c>
      <c r="C33" s="3" t="s">
        <v>1</v>
      </c>
      <c r="D33" s="3" t="s">
        <v>2</v>
      </c>
      <c r="E33" s="3" t="s">
        <v>3</v>
      </c>
      <c r="F33" s="3" t="s">
        <v>131</v>
      </c>
      <c r="G33" s="3" t="s">
        <v>132</v>
      </c>
      <c r="H33" s="3">
        <v>4404</v>
      </c>
      <c r="I33" s="3" t="s">
        <v>133</v>
      </c>
      <c r="J33" s="3">
        <v>90</v>
      </c>
      <c r="K33" s="3">
        <v>-9.9366520505026994</v>
      </c>
      <c r="L33" s="3">
        <v>-1.81564468115807</v>
      </c>
      <c r="M33" s="3">
        <v>0.52441062448322895</v>
      </c>
      <c r="N33" s="3">
        <v>-2.94823280556911</v>
      </c>
      <c r="O33" s="3">
        <v>-2.7222355954609201</v>
      </c>
      <c r="P33" s="3">
        <v>-5.9578973421950598</v>
      </c>
      <c r="Q33" s="3">
        <v>-30.3511990055543</v>
      </c>
      <c r="R33" s="3">
        <v>-0.408411270121675</v>
      </c>
      <c r="S33" s="3">
        <v>-0.213162644805168</v>
      </c>
      <c r="T33" s="3">
        <v>-25.366599096424402</v>
      </c>
      <c r="U33" s="3">
        <v>-0.405335945808034</v>
      </c>
      <c r="V33" s="3">
        <v>-0.20708440303615999</v>
      </c>
      <c r="W33" s="3">
        <v>-15.4412655298991</v>
      </c>
      <c r="X33" s="3">
        <v>-10.218229943876199</v>
      </c>
      <c r="Y33" s="3">
        <v>-9.7971470644997893</v>
      </c>
      <c r="Z33" s="3">
        <v>0.52524289659635504</v>
      </c>
      <c r="AA33" s="3">
        <v>0.51813665487544402</v>
      </c>
      <c r="AB33" s="3">
        <v>0.51233939495692804</v>
      </c>
      <c r="AC33" s="3">
        <v>0.14698780349825399</v>
      </c>
      <c r="AD33" s="3">
        <v>0.14505448425378101</v>
      </c>
      <c r="AE33" s="3">
        <v>0.136199341172105</v>
      </c>
      <c r="AF33" s="3">
        <v>1.94830164506935</v>
      </c>
      <c r="AG33" s="3">
        <v>1.1760876890429199</v>
      </c>
      <c r="AH33" s="3">
        <v>0.72952675590153204</v>
      </c>
      <c r="AI33" s="3">
        <v>55.0664387798655</v>
      </c>
      <c r="AJ33" s="3">
        <v>58.396582687982402</v>
      </c>
      <c r="AK33" s="3">
        <v>61.1896984493575</v>
      </c>
      <c r="AL33" s="3">
        <f>AVERAGE(AK31:AK33)</f>
        <v>50.37806349176077</v>
      </c>
      <c r="AM33" s="13">
        <f>STDEV(AK31:AK33)/SQRT(COUNT(AK31:AK33))</f>
        <v>5.9165322536438154</v>
      </c>
    </row>
    <row r="34" spans="1:39" s="7" customFormat="1">
      <c r="A34" s="7">
        <v>4263</v>
      </c>
      <c r="B34" s="7" t="s">
        <v>0</v>
      </c>
      <c r="C34" s="7" t="s">
        <v>1</v>
      </c>
      <c r="D34" s="7" t="s">
        <v>14</v>
      </c>
      <c r="E34" s="7" t="s">
        <v>3</v>
      </c>
      <c r="F34" s="7" t="s">
        <v>15</v>
      </c>
      <c r="G34" s="7" t="s">
        <v>16</v>
      </c>
      <c r="H34" s="7">
        <v>4263</v>
      </c>
      <c r="I34" s="7" t="s">
        <v>17</v>
      </c>
      <c r="J34" s="7">
        <v>90</v>
      </c>
      <c r="K34" s="7">
        <v>-7.75573577737463</v>
      </c>
      <c r="L34" s="7">
        <v>-1.82007500408439</v>
      </c>
      <c r="M34" s="7">
        <v>2.5803315363900001</v>
      </c>
      <c r="N34" s="7">
        <v>-2.9481031380889302</v>
      </c>
      <c r="O34" s="7">
        <v>-0.62431162479716595</v>
      </c>
      <c r="P34" s="7">
        <v>-6.08793101160816</v>
      </c>
      <c r="Q34" s="7">
        <v>-33.005395674494302</v>
      </c>
      <c r="R34" s="7">
        <v>-0.38757293561862999</v>
      </c>
      <c r="S34" s="7">
        <v>-0.21295917192392899</v>
      </c>
      <c r="T34" s="7">
        <v>-30.060640110635099</v>
      </c>
      <c r="U34" s="7">
        <v>-0.38682323063681301</v>
      </c>
      <c r="V34" s="7">
        <v>-0.21763823400482399</v>
      </c>
      <c r="W34" s="7">
        <v>-19.1173725949612</v>
      </c>
      <c r="X34" s="7">
        <v>-8.0380855677963403</v>
      </c>
      <c r="Y34" s="7">
        <v>-9.8008074106337997</v>
      </c>
      <c r="Z34" s="7">
        <v>0.53022729726458895</v>
      </c>
      <c r="AA34" s="7">
        <v>0.53254036639004398</v>
      </c>
      <c r="AB34" s="7">
        <v>0.53387918890818398</v>
      </c>
      <c r="AC34" s="7">
        <v>0.13102275309149999</v>
      </c>
      <c r="AD34" s="7">
        <v>0.13027479115505899</v>
      </c>
      <c r="AE34" s="7">
        <v>0.130317485163785</v>
      </c>
      <c r="AF34" s="7">
        <v>13.8926374268713</v>
      </c>
      <c r="AG34" s="7">
        <v>0.50054420428555302</v>
      </c>
      <c r="AH34" s="7">
        <v>-0.517438712459941</v>
      </c>
      <c r="AI34" s="7">
        <v>52.789623599450103</v>
      </c>
      <c r="AJ34" s="7">
        <v>51.749014503937801</v>
      </c>
      <c r="AK34" s="7">
        <v>51.151237018984403</v>
      </c>
      <c r="AM34" s="17"/>
    </row>
    <row r="35" spans="1:39" s="7" customFormat="1">
      <c r="A35" s="7">
        <v>4345</v>
      </c>
      <c r="B35" s="7" t="s">
        <v>0</v>
      </c>
      <c r="C35" s="7" t="s">
        <v>1</v>
      </c>
      <c r="D35" s="7" t="s">
        <v>2</v>
      </c>
      <c r="E35" s="7" t="s">
        <v>3</v>
      </c>
      <c r="F35" s="7" t="s">
        <v>46</v>
      </c>
      <c r="G35" s="7" t="s">
        <v>47</v>
      </c>
      <c r="H35" s="7">
        <v>4345</v>
      </c>
      <c r="I35" s="7" t="s">
        <v>48</v>
      </c>
      <c r="J35" s="7">
        <v>90</v>
      </c>
      <c r="K35" s="7">
        <v>-8.2963520904053301</v>
      </c>
      <c r="L35" s="7">
        <v>-1.4601540246106901</v>
      </c>
      <c r="M35" s="7">
        <v>2.0837187846565901</v>
      </c>
      <c r="N35" s="7">
        <v>-2.5900631228231301</v>
      </c>
      <c r="O35" s="7">
        <v>-0.77686913975993899</v>
      </c>
      <c r="P35" s="7">
        <v>-5.2865019785901204</v>
      </c>
      <c r="Q35" s="7">
        <v>-28.418496574887801</v>
      </c>
      <c r="R35" s="7">
        <v>-0.39474150280389703</v>
      </c>
      <c r="S35" s="7">
        <v>-0.136632237985847</v>
      </c>
      <c r="T35" s="7">
        <v>-25.6815388028106</v>
      </c>
      <c r="U35" s="7">
        <v>-0.393857961340706</v>
      </c>
      <c r="V35" s="7">
        <v>-0.135063596021471</v>
      </c>
      <c r="W35" s="7">
        <v>-16.298296907903499</v>
      </c>
      <c r="X35" s="7">
        <v>-8.5787018808270403</v>
      </c>
      <c r="Y35" s="7">
        <v>-9.4437884884321708</v>
      </c>
      <c r="Z35" s="7">
        <v>0.53129930787220203</v>
      </c>
      <c r="AA35" s="7">
        <v>0.52779633409975601</v>
      </c>
      <c r="AB35" s="7">
        <v>0.52486182486449495</v>
      </c>
      <c r="AC35" s="7">
        <v>0.22844162451165601</v>
      </c>
      <c r="AD35" s="7">
        <v>0.22848856649810001</v>
      </c>
      <c r="AE35" s="7">
        <v>0.230097479327876</v>
      </c>
      <c r="AF35" s="7">
        <v>3.60039956345515</v>
      </c>
      <c r="AG35" s="7">
        <v>1.11743769628569</v>
      </c>
      <c r="AH35" s="7">
        <v>0.38619241447960601</v>
      </c>
      <c r="AI35" s="7">
        <v>52.306103464594401</v>
      </c>
      <c r="AJ35" s="7">
        <v>53.8941198463069</v>
      </c>
      <c r="AK35" s="7">
        <v>55.242477516135502</v>
      </c>
      <c r="AL35" s="7">
        <f>AVERAGE(AK34:AK35)</f>
        <v>53.196857267559949</v>
      </c>
      <c r="AM35" s="14">
        <f>STDEV(AK34:AK35)/SQRT(COUNT(AK34:AK35))</f>
        <v>2.045620248575549</v>
      </c>
    </row>
    <row r="36" spans="1:39" s="3" customFormat="1">
      <c r="A36" s="3">
        <v>4335</v>
      </c>
      <c r="B36" s="3" t="s">
        <v>0</v>
      </c>
      <c r="C36" s="3" t="s">
        <v>1</v>
      </c>
      <c r="D36" s="3" t="s">
        <v>2</v>
      </c>
      <c r="E36" s="3" t="s">
        <v>3</v>
      </c>
      <c r="F36" s="3" t="s">
        <v>28</v>
      </c>
      <c r="G36" s="3" t="s">
        <v>29</v>
      </c>
      <c r="H36" s="3">
        <v>4335</v>
      </c>
      <c r="I36" s="3" t="s">
        <v>30</v>
      </c>
      <c r="J36" s="3">
        <v>90</v>
      </c>
      <c r="K36" s="3">
        <v>-8.5081959820195294</v>
      </c>
      <c r="L36" s="3">
        <v>-1.4619450879124301</v>
      </c>
      <c r="M36" s="3">
        <v>1.8835427343353199</v>
      </c>
      <c r="N36" s="3">
        <v>-2.5922994740010901</v>
      </c>
      <c r="O36" s="3">
        <v>-0.96632249148257998</v>
      </c>
      <c r="P36" s="3">
        <v>-5.3171011238213701</v>
      </c>
      <c r="Q36" s="3">
        <v>-31.524085072991902</v>
      </c>
      <c r="R36" s="3">
        <v>-0.36397374170710201</v>
      </c>
      <c r="S36" s="3">
        <v>-0.142532710778903</v>
      </c>
      <c r="T36" s="3">
        <v>-28.572621246046499</v>
      </c>
      <c r="U36" s="3">
        <v>-0.36286724512340401</v>
      </c>
      <c r="V36" s="3">
        <v>-0.14164576232449699</v>
      </c>
      <c r="W36" s="3">
        <v>-18.158671629725099</v>
      </c>
      <c r="X36" s="3">
        <v>-8.7905457724412397</v>
      </c>
      <c r="Y36" s="3">
        <v>-9.4455651103187908</v>
      </c>
      <c r="Z36" s="3">
        <v>0.56368423632560405</v>
      </c>
      <c r="AA36" s="3">
        <v>0.56094028873756197</v>
      </c>
      <c r="AB36" s="3">
        <v>0.55867012604270005</v>
      </c>
      <c r="AC36" s="3">
        <v>0.22051823941106999</v>
      </c>
      <c r="AD36" s="3">
        <v>0.22040923818275299</v>
      </c>
      <c r="AE36" s="3">
        <v>0.22131211160567599</v>
      </c>
      <c r="AF36" s="3">
        <v>6.6956580643035704</v>
      </c>
      <c r="AG36" s="3">
        <v>1.0914252415502801</v>
      </c>
      <c r="AH36" s="3">
        <v>-0.221377369288807</v>
      </c>
      <c r="AI36" s="3">
        <v>38.642907341164502</v>
      </c>
      <c r="AJ36" s="3">
        <v>39.734401952947898</v>
      </c>
      <c r="AK36" s="3">
        <v>40.646150416673997</v>
      </c>
      <c r="AM36" s="16"/>
    </row>
    <row r="37" spans="1:39" s="3" customFormat="1">
      <c r="A37" s="3">
        <v>4380</v>
      </c>
      <c r="B37" s="3" t="s">
        <v>0</v>
      </c>
      <c r="C37" s="3" t="s">
        <v>1</v>
      </c>
      <c r="D37" s="3" t="s">
        <v>2</v>
      </c>
      <c r="E37" s="3" t="s">
        <v>3</v>
      </c>
      <c r="F37" s="3" t="s">
        <v>60</v>
      </c>
      <c r="G37" s="3" t="s">
        <v>61</v>
      </c>
      <c r="H37" s="3">
        <v>4380</v>
      </c>
      <c r="I37" s="3" t="s">
        <v>62</v>
      </c>
      <c r="J37" s="3">
        <v>90</v>
      </c>
      <c r="K37" s="3">
        <v>-8.4813084772269107</v>
      </c>
      <c r="L37" s="3">
        <v>-1.4371440732434899</v>
      </c>
      <c r="M37" s="3">
        <v>1.90928562088024</v>
      </c>
      <c r="N37" s="3">
        <v>-2.56750453768732</v>
      </c>
      <c r="O37" s="3">
        <v>-0.91281800015407799</v>
      </c>
      <c r="P37" s="3">
        <v>-5.2007651179701098</v>
      </c>
      <c r="Q37" s="3">
        <v>-26.802617826160201</v>
      </c>
      <c r="R37" s="3">
        <v>-0.36011025152349102</v>
      </c>
      <c r="S37" s="3">
        <v>-8.4935967117355501E-2</v>
      </c>
      <c r="T37" s="3">
        <v>-23.883969865084399</v>
      </c>
      <c r="U37" s="3">
        <v>-0.35909685029772298</v>
      </c>
      <c r="V37" s="3">
        <v>-8.1027958175762402E-2</v>
      </c>
      <c r="W37" s="3">
        <v>-15.0500378541561</v>
      </c>
      <c r="X37" s="3">
        <v>-8.7636582676486192</v>
      </c>
      <c r="Y37" s="3">
        <v>-9.4209640672243502</v>
      </c>
      <c r="Z37" s="3">
        <v>0.57208508973643502</v>
      </c>
      <c r="AA37" s="3">
        <v>0.56629926043512901</v>
      </c>
      <c r="AB37" s="3">
        <v>0.56203189112871399</v>
      </c>
      <c r="AC37" s="3">
        <v>0.29209745107542201</v>
      </c>
      <c r="AD37" s="3">
        <v>0.29306809100063502</v>
      </c>
      <c r="AE37" s="3">
        <v>0.30100864377678899</v>
      </c>
      <c r="AF37" s="3">
        <v>1.6221308697419801</v>
      </c>
      <c r="AG37" s="3">
        <v>1.1184563347199199</v>
      </c>
      <c r="AH37" s="3">
        <v>0.83795534385370696</v>
      </c>
      <c r="AI37" s="3">
        <v>35.370895864439703</v>
      </c>
      <c r="AJ37" s="3">
        <v>37.613256032531801</v>
      </c>
      <c r="AK37" s="3">
        <v>39.298810062816997</v>
      </c>
      <c r="AL37" s="3">
        <f>AVERAGE(AK36:AK37)</f>
        <v>39.972480239745494</v>
      </c>
      <c r="AM37" s="13">
        <f>STDEV(AK36:AK37)/SQRT(COUNT(AK36:AK37))</f>
        <v>0.67367017692849984</v>
      </c>
    </row>
    <row r="38" spans="1:39" s="3" customFormat="1">
      <c r="A38" s="3">
        <v>4469</v>
      </c>
      <c r="B38" s="3" t="s">
        <v>0</v>
      </c>
      <c r="C38" s="3" t="s">
        <v>1</v>
      </c>
      <c r="D38" s="3" t="s">
        <v>2</v>
      </c>
      <c r="E38" s="3" t="s">
        <v>3</v>
      </c>
      <c r="F38" s="3" t="s">
        <v>155</v>
      </c>
      <c r="G38" s="3" t="s">
        <v>156</v>
      </c>
      <c r="H38" s="3">
        <v>4469</v>
      </c>
      <c r="I38" s="3" t="s">
        <v>157</v>
      </c>
      <c r="J38" s="3">
        <v>90</v>
      </c>
      <c r="K38" s="3">
        <v>-8.5570369725286692</v>
      </c>
      <c r="L38" s="3">
        <v>-1.0084842714453</v>
      </c>
      <c r="M38" s="3">
        <v>1.8527239989084601</v>
      </c>
      <c r="N38" s="3">
        <v>-2.1399118455282098</v>
      </c>
      <c r="O38" s="3">
        <v>-0.52830078664772595</v>
      </c>
      <c r="P38" s="3">
        <v>-4.3601795962347998</v>
      </c>
      <c r="Q38" s="3">
        <v>-25.646910404346301</v>
      </c>
      <c r="R38" s="3">
        <v>-0.34017134494405399</v>
      </c>
      <c r="S38" s="3">
        <v>-9.9573111017672897E-2</v>
      </c>
      <c r="T38" s="3">
        <v>-23.4823981415684</v>
      </c>
      <c r="U38" s="3">
        <v>-0.33946802226529699</v>
      </c>
      <c r="V38" s="3">
        <v>-9.9834407939849101E-2</v>
      </c>
      <c r="W38" s="3">
        <v>-14.832590595190901</v>
      </c>
      <c r="X38" s="3">
        <v>-8.8358196571151506</v>
      </c>
      <c r="Y38" s="3">
        <v>-8.9938355051363992</v>
      </c>
      <c r="Z38" s="3">
        <v>0.58074938549325195</v>
      </c>
      <c r="AA38" s="3">
        <v>0.58566090597183995</v>
      </c>
      <c r="AB38" s="3">
        <v>0.58929133245289</v>
      </c>
      <c r="AC38" s="3">
        <v>0.25676812919947101</v>
      </c>
      <c r="AD38" s="3">
        <v>0.26337377882892898</v>
      </c>
      <c r="AE38" s="3">
        <v>0.27390496964928501</v>
      </c>
      <c r="AF38" s="3">
        <v>2.6666780377119599</v>
      </c>
      <c r="AG38" s="3">
        <v>1.44116304468398</v>
      </c>
      <c r="AH38" s="3">
        <v>0.83114657434735395</v>
      </c>
      <c r="AI38" s="3">
        <v>32.101911798771098</v>
      </c>
      <c r="AJ38" s="3">
        <v>30.294357043433202</v>
      </c>
      <c r="AK38" s="3">
        <v>28.978724895933698</v>
      </c>
      <c r="AL38" s="3">
        <f>AVERAGE(AK36:AK38)</f>
        <v>36.307895125141563</v>
      </c>
      <c r="AM38" s="13">
        <f>STDEV(AK36:AK38)/SQRT(COUNT(AK36:AK38))</f>
        <v>3.6851677344825404</v>
      </c>
    </row>
    <row r="39" spans="1:39" s="7" customFormat="1">
      <c r="A39" s="7">
        <v>4391</v>
      </c>
      <c r="B39" s="7" t="s">
        <v>0</v>
      </c>
      <c r="C39" s="7" t="s">
        <v>1</v>
      </c>
      <c r="D39" s="7" t="s">
        <v>2</v>
      </c>
      <c r="E39" s="7" t="s">
        <v>3</v>
      </c>
      <c r="F39" s="7" t="s">
        <v>103</v>
      </c>
      <c r="G39" s="8" t="s">
        <v>144</v>
      </c>
      <c r="H39" s="7">
        <v>4391</v>
      </c>
      <c r="I39" s="7" t="s">
        <v>104</v>
      </c>
      <c r="J39" s="7">
        <v>90</v>
      </c>
      <c r="K39" s="7">
        <v>-9.5979491922383708</v>
      </c>
      <c r="L39" s="7">
        <v>8.7466309019946301E-2</v>
      </c>
      <c r="M39" s="7">
        <v>0.90899048750233702</v>
      </c>
      <c r="N39" s="7">
        <v>-1.0484675018242999</v>
      </c>
      <c r="O39" s="7">
        <v>-0.38872231324491902</v>
      </c>
      <c r="P39" s="7">
        <v>-2.23168093686099</v>
      </c>
      <c r="Q39" s="7">
        <v>-19.099829149396601</v>
      </c>
      <c r="R39" s="7">
        <v>-0.30443110624546499</v>
      </c>
      <c r="S39" s="7">
        <v>-0.139160452405615</v>
      </c>
      <c r="T39" s="7">
        <v>-18.046174872264402</v>
      </c>
      <c r="U39" s="7">
        <v>-0.30400286403997601</v>
      </c>
      <c r="V39" s="7">
        <v>-0.13716457867572401</v>
      </c>
      <c r="W39" s="7">
        <v>-11.754555057426</v>
      </c>
      <c r="X39" s="7">
        <v>-9.8802989826600793</v>
      </c>
      <c r="Y39" s="7">
        <v>-7.9086466795326302</v>
      </c>
      <c r="Z39" s="7">
        <v>0.63184026391842996</v>
      </c>
      <c r="AA39" s="7">
        <v>0.62559218375107895</v>
      </c>
      <c r="AB39" s="7">
        <v>0.62172362653640001</v>
      </c>
      <c r="AC39" s="7">
        <v>0.22757788279652799</v>
      </c>
      <c r="AD39" s="7">
        <v>0.22818480684577799</v>
      </c>
      <c r="AE39" s="7">
        <v>0.231707561301533</v>
      </c>
      <c r="AF39" s="7">
        <v>-2.2807693060524401</v>
      </c>
      <c r="AG39" s="7">
        <v>0.78400219991921805</v>
      </c>
      <c r="AH39" s="7">
        <v>1.9829806578137199</v>
      </c>
      <c r="AI39" s="7">
        <v>14.734197381782099</v>
      </c>
      <c r="AJ39" s="7">
        <v>16.700283981897201</v>
      </c>
      <c r="AK39" s="7">
        <v>17.937986536891</v>
      </c>
      <c r="AM39" s="17"/>
    </row>
    <row r="40" spans="1:39" s="7" customFormat="1">
      <c r="A40" s="7">
        <v>4478</v>
      </c>
      <c r="B40" s="7" t="s">
        <v>0</v>
      </c>
      <c r="C40" s="7" t="s">
        <v>1</v>
      </c>
      <c r="D40" s="7" t="s">
        <v>2</v>
      </c>
      <c r="E40" s="7" t="s">
        <v>3</v>
      </c>
      <c r="F40" s="7" t="s">
        <v>168</v>
      </c>
      <c r="G40" s="8" t="s">
        <v>169</v>
      </c>
      <c r="H40" s="7">
        <v>4478</v>
      </c>
      <c r="I40" s="7" t="s">
        <v>170</v>
      </c>
      <c r="J40" s="7">
        <v>90</v>
      </c>
      <c r="K40" s="7">
        <v>-9.1029789410922497</v>
      </c>
      <c r="L40" s="7">
        <v>-4.5099994766209503E-2</v>
      </c>
      <c r="M40" s="7">
        <v>1.3710810109093401</v>
      </c>
      <c r="N40" s="7">
        <v>-1.17971589389071</v>
      </c>
      <c r="O40" s="7">
        <v>-8.0124594323030499E-2</v>
      </c>
      <c r="P40" s="7">
        <v>-2.48334541072545</v>
      </c>
      <c r="Q40" s="7">
        <v>-19.912957636548299</v>
      </c>
      <c r="R40" s="7">
        <v>-0.33395428204354399</v>
      </c>
      <c r="S40" s="7">
        <v>-0.124959265702691</v>
      </c>
      <c r="T40" s="7">
        <v>-19.072533854805702</v>
      </c>
      <c r="U40" s="7">
        <v>-0.33384767161613799</v>
      </c>
      <c r="V40" s="7">
        <v>-0.12493000175951199</v>
      </c>
      <c r="W40" s="7">
        <v>-12.3553889320512</v>
      </c>
      <c r="X40" s="7">
        <v>-9.3817616256787293</v>
      </c>
      <c r="Y40" s="7">
        <v>-8.0382190344631503</v>
      </c>
      <c r="Z40" s="7">
        <v>0.58725408999135198</v>
      </c>
      <c r="AA40" s="7">
        <v>0.59192447288410399</v>
      </c>
      <c r="AB40" s="7">
        <v>0.59538840079712996</v>
      </c>
      <c r="AC40" s="7">
        <v>0.22737664031624299</v>
      </c>
      <c r="AD40" s="7">
        <v>0.23403786523417</v>
      </c>
      <c r="AE40" s="7">
        <v>0.24351783869271201</v>
      </c>
      <c r="AF40" s="7">
        <v>0.57932998753223697</v>
      </c>
      <c r="AG40" s="7">
        <v>0.51546291553368995</v>
      </c>
      <c r="AH40" s="7">
        <v>4.7053814288908304</v>
      </c>
      <c r="AI40" s="7">
        <v>29.714889699075101</v>
      </c>
      <c r="AJ40" s="7">
        <v>28.035135506252502</v>
      </c>
      <c r="AK40" s="7">
        <v>26.807191990740002</v>
      </c>
      <c r="AL40" s="7">
        <f>AVERAGE(AK39:AK40)</f>
        <v>22.372589263815499</v>
      </c>
      <c r="AM40" s="14">
        <f>STDEV(AK39:AK40)/SQRT(COUNT(AK39:AK40))</f>
        <v>4.4346027269245116</v>
      </c>
    </row>
    <row r="41" spans="1:39" s="3" customFormat="1">
      <c r="A41" s="3">
        <v>4341</v>
      </c>
      <c r="B41" s="3" t="s">
        <v>0</v>
      </c>
      <c r="C41" s="3" t="s">
        <v>1</v>
      </c>
      <c r="D41" s="3" t="s">
        <v>14</v>
      </c>
      <c r="E41" s="3" t="s">
        <v>3</v>
      </c>
      <c r="F41" s="3" t="s">
        <v>40</v>
      </c>
      <c r="G41" s="3" t="s">
        <v>41</v>
      </c>
      <c r="H41" s="3">
        <v>4341</v>
      </c>
      <c r="I41" s="3" t="s">
        <v>42</v>
      </c>
      <c r="J41" s="3">
        <v>90</v>
      </c>
      <c r="K41" s="3">
        <v>-15.4566336792332</v>
      </c>
      <c r="L41" s="3">
        <v>0.25186464574025302</v>
      </c>
      <c r="M41" s="3">
        <v>-4.6136752719416796</v>
      </c>
      <c r="N41" s="3">
        <v>-0.89668687345051401</v>
      </c>
      <c r="O41" s="3">
        <v>-5.9766709380047303</v>
      </c>
      <c r="P41" s="3">
        <v>-1.90150534364228</v>
      </c>
      <c r="Q41" s="3">
        <v>-30.988397393692999</v>
      </c>
      <c r="R41" s="3">
        <v>-0.338578675192233</v>
      </c>
      <c r="S41" s="3">
        <v>-0.11976837155971801</v>
      </c>
      <c r="T41" s="3">
        <v>-24.499880956186399</v>
      </c>
      <c r="U41" s="3">
        <v>-0.33176281954470599</v>
      </c>
      <c r="V41" s="3">
        <v>-0.11930295960377101</v>
      </c>
      <c r="W41" s="3">
        <v>-14.266022383061699</v>
      </c>
      <c r="X41" s="3">
        <v>-15.738983469654899</v>
      </c>
      <c r="Y41" s="3">
        <v>-7.7455738931853899</v>
      </c>
      <c r="Z41" s="3">
        <v>0.59778922910228005</v>
      </c>
      <c r="AA41" s="3">
        <v>0.594703477409674</v>
      </c>
      <c r="AB41" s="3">
        <v>0.59233806925911703</v>
      </c>
      <c r="AC41" s="3">
        <v>0.246473541506988</v>
      </c>
      <c r="AD41" s="3">
        <v>0.24655241955409599</v>
      </c>
      <c r="AE41" s="3">
        <v>0.248776126005955</v>
      </c>
      <c r="AF41" s="3">
        <v>0.56678571436632197</v>
      </c>
      <c r="AG41" s="3">
        <v>1.0745319993272</v>
      </c>
      <c r="AH41" s="3">
        <v>1.0423545112480199</v>
      </c>
      <c r="AI41" s="3">
        <v>25.964870599904401</v>
      </c>
      <c r="AJ41" s="3">
        <v>27.048802345513</v>
      </c>
      <c r="AK41" s="3">
        <v>27.887724596535101</v>
      </c>
      <c r="AM41" s="16"/>
    </row>
    <row r="42" spans="1:39" s="3" customFormat="1">
      <c r="A42" s="3">
        <v>4406</v>
      </c>
      <c r="B42" s="3" t="s">
        <v>0</v>
      </c>
      <c r="C42" s="3" t="s">
        <v>1</v>
      </c>
      <c r="D42" s="3" t="s">
        <v>2</v>
      </c>
      <c r="E42" s="3" t="s">
        <v>3</v>
      </c>
      <c r="F42" s="9" t="s">
        <v>143</v>
      </c>
      <c r="G42" s="9" t="s">
        <v>142</v>
      </c>
      <c r="H42" s="3">
        <v>4406</v>
      </c>
      <c r="I42" s="3" t="s">
        <v>137</v>
      </c>
      <c r="J42" s="3">
        <v>90</v>
      </c>
      <c r="K42" s="3">
        <v>-13.425187026303901</v>
      </c>
      <c r="L42" s="3">
        <v>0.167335352272241</v>
      </c>
      <c r="M42" s="3">
        <v>-2.69993786774205</v>
      </c>
      <c r="N42" s="3">
        <v>-0.97679770248439701</v>
      </c>
      <c r="O42" s="3">
        <v>-4.0667075955699801</v>
      </c>
      <c r="P42" s="3">
        <v>-2.0837107998541202</v>
      </c>
      <c r="Q42" s="3">
        <v>-29.513930502520498</v>
      </c>
      <c r="R42" s="3">
        <v>-0.32376445010326399</v>
      </c>
      <c r="S42" s="3">
        <v>-0.14208476069770101</v>
      </c>
      <c r="T42" s="3">
        <v>-24.840938173327402</v>
      </c>
      <c r="U42" s="3">
        <v>-0.31917547523622603</v>
      </c>
      <c r="V42" s="3">
        <v>-0.13990545395041501</v>
      </c>
      <c r="W42" s="3">
        <v>-15.1908579444914</v>
      </c>
      <c r="X42" s="3">
        <v>-13.706764919677401</v>
      </c>
      <c r="Y42" s="3">
        <v>-7.8301558784960603</v>
      </c>
      <c r="Z42" s="3">
        <v>0.61696525438385896</v>
      </c>
      <c r="AA42" s="3">
        <v>0.61017967595110401</v>
      </c>
      <c r="AB42" s="3">
        <v>0.60573982556846495</v>
      </c>
      <c r="AC42" s="3">
        <v>0.22484698157944699</v>
      </c>
      <c r="AD42" s="3">
        <v>0.22393434115225</v>
      </c>
      <c r="AE42" s="3">
        <v>0.22787053290271</v>
      </c>
      <c r="AF42" s="3">
        <v>1.66460288140448</v>
      </c>
      <c r="AG42" s="3">
        <v>1.1465980705268899</v>
      </c>
      <c r="AH42" s="3">
        <v>0.81863560650955502</v>
      </c>
      <c r="AI42" s="3">
        <v>19.4823447047863</v>
      </c>
      <c r="AJ42" s="3">
        <v>21.7277849754534</v>
      </c>
      <c r="AK42" s="3">
        <v>23.225275948205699</v>
      </c>
      <c r="AL42" s="3">
        <f>AVERAGE(AK41:AK42)</f>
        <v>25.5565002723704</v>
      </c>
      <c r="AM42" s="16">
        <f>STDEV(AK41:AK42)/SQRT(COUNT(AK41:AK42))</f>
        <v>2.331224324164701</v>
      </c>
    </row>
    <row r="43" spans="1:39" s="7" customFormat="1">
      <c r="A43" s="7">
        <v>4394</v>
      </c>
      <c r="B43" s="7" t="s">
        <v>0</v>
      </c>
      <c r="C43" s="7" t="s">
        <v>1</v>
      </c>
      <c r="D43" s="7" t="s">
        <v>2</v>
      </c>
      <c r="E43" s="7" t="s">
        <v>3</v>
      </c>
      <c r="F43" s="7" t="s">
        <v>114</v>
      </c>
      <c r="G43" s="7" t="s">
        <v>115</v>
      </c>
      <c r="H43" s="7">
        <v>4394</v>
      </c>
      <c r="I43" s="7" t="s">
        <v>116</v>
      </c>
      <c r="J43" s="7">
        <v>90</v>
      </c>
      <c r="K43" s="7">
        <v>-8.5379235985024398</v>
      </c>
      <c r="L43" s="7">
        <v>-0.24504637576757901</v>
      </c>
      <c r="M43" s="7">
        <v>1.8978104876681401</v>
      </c>
      <c r="N43" s="7">
        <v>-1.3780495828535</v>
      </c>
      <c r="O43" s="7">
        <v>0.27395809405890598</v>
      </c>
      <c r="P43" s="7">
        <v>-2.8569935229326</v>
      </c>
      <c r="Q43" s="7">
        <v>-16.565379878746299</v>
      </c>
      <c r="R43" s="7">
        <v>-0.33724981944371601</v>
      </c>
      <c r="S43" s="7">
        <v>-0.120786788443386</v>
      </c>
      <c r="T43" s="7">
        <v>-15.9198616080603</v>
      </c>
      <c r="U43" s="7">
        <v>-0.33756106518133899</v>
      </c>
      <c r="V43" s="7">
        <v>-0.118238904042909</v>
      </c>
      <c r="W43" s="7">
        <v>-10.4986365454699</v>
      </c>
      <c r="X43" s="7">
        <v>-8.81950149187597</v>
      </c>
      <c r="Y43" s="7">
        <v>-8.2392125561471108</v>
      </c>
      <c r="Z43" s="7">
        <v>0.59636404557015799</v>
      </c>
      <c r="AA43" s="7">
        <v>0.59024843018745898</v>
      </c>
      <c r="AB43" s="7">
        <v>0.585959037419295</v>
      </c>
      <c r="AC43" s="7">
        <v>0.24951557491351301</v>
      </c>
      <c r="AD43" s="7">
        <v>0.248839721649013</v>
      </c>
      <c r="AE43" s="7">
        <v>0.255931011564207</v>
      </c>
      <c r="AF43" s="7">
        <v>-3.7392592256262498</v>
      </c>
      <c r="AG43" s="7">
        <v>0.64153036513434103</v>
      </c>
      <c r="AH43" s="7">
        <v>2.4053151850023702</v>
      </c>
      <c r="AI43" s="7">
        <v>26.464033280515899</v>
      </c>
      <c r="AJ43" s="7">
        <v>28.634722592522099</v>
      </c>
      <c r="AK43" s="7">
        <v>30.1856687343288</v>
      </c>
      <c r="AM43" s="17"/>
    </row>
    <row r="44" spans="1:39" s="7" customFormat="1">
      <c r="A44" s="7">
        <v>4396</v>
      </c>
      <c r="B44" s="7" t="s">
        <v>0</v>
      </c>
      <c r="C44" s="7" t="s">
        <v>1</v>
      </c>
      <c r="D44" s="7" t="s">
        <v>2</v>
      </c>
      <c r="E44" s="7" t="s">
        <v>3</v>
      </c>
      <c r="F44" s="7" t="s">
        <v>117</v>
      </c>
      <c r="G44" s="7" t="s">
        <v>118</v>
      </c>
      <c r="H44" s="7">
        <v>4396</v>
      </c>
      <c r="I44" s="7" t="s">
        <v>119</v>
      </c>
      <c r="J44" s="7">
        <v>90</v>
      </c>
      <c r="K44" s="7">
        <v>-8.3510215700050807</v>
      </c>
      <c r="L44" s="7">
        <v>-0.158641791728728</v>
      </c>
      <c r="M44" s="7">
        <v>2.0774922156809299</v>
      </c>
      <c r="N44" s="7">
        <v>-1.2914262747129499</v>
      </c>
      <c r="O44" s="7">
        <v>0.54117566153371199</v>
      </c>
      <c r="P44" s="7">
        <v>-2.7309353992393</v>
      </c>
      <c r="Q44" s="7">
        <v>-18.207918222126899</v>
      </c>
      <c r="R44" s="7">
        <v>-0.34792796614805399</v>
      </c>
      <c r="S44" s="7">
        <v>-0.15959173791690001</v>
      </c>
      <c r="T44" s="7">
        <v>-17.934584109186801</v>
      </c>
      <c r="U44" s="7">
        <v>-0.348542106776004</v>
      </c>
      <c r="V44" s="7">
        <v>-0.157086146333344</v>
      </c>
      <c r="W44" s="7">
        <v>-11.976714477634699</v>
      </c>
      <c r="X44" s="7">
        <v>-8.6325994633786092</v>
      </c>
      <c r="Y44" s="7">
        <v>-8.1535046557297797</v>
      </c>
      <c r="Z44" s="7">
        <v>0.584854490894268</v>
      </c>
      <c r="AA44" s="7">
        <v>0.57855838393650805</v>
      </c>
      <c r="AB44" s="7">
        <v>0.57402721064291895</v>
      </c>
      <c r="AC44" s="7">
        <v>0.204628027325229</v>
      </c>
      <c r="AD44" s="7">
        <v>0.203413936561505</v>
      </c>
      <c r="AE44" s="7">
        <v>0.203809779100663</v>
      </c>
      <c r="AF44" s="7">
        <v>-1.9985716706566801</v>
      </c>
      <c r="AG44" s="7">
        <v>0.78904217450347502</v>
      </c>
      <c r="AH44" s="7">
        <v>1.9055820146676301</v>
      </c>
      <c r="AI44" s="7">
        <v>30.588934232697699</v>
      </c>
      <c r="AJ44" s="7">
        <v>32.918737843038897</v>
      </c>
      <c r="AK44" s="7">
        <v>34.629017734356403</v>
      </c>
      <c r="AL44" s="7">
        <f>AVERAGE(AK43:AK44)</f>
        <v>32.407343234342605</v>
      </c>
      <c r="AM44" s="17">
        <f>STDEV(AK43:AK44)/SQRT(COUNT(AK43:AK44))</f>
        <v>2.2216745000138012</v>
      </c>
    </row>
    <row r="45" spans="1:39" s="7" customFormat="1">
      <c r="A45" s="7">
        <v>4470</v>
      </c>
      <c r="B45" s="7" t="s">
        <v>0</v>
      </c>
      <c r="C45" s="7" t="s">
        <v>1</v>
      </c>
      <c r="D45" s="7" t="s">
        <v>2</v>
      </c>
      <c r="E45" s="7" t="s">
        <v>3</v>
      </c>
      <c r="F45" s="7" t="s">
        <v>158</v>
      </c>
      <c r="G45" s="7" t="s">
        <v>159</v>
      </c>
      <c r="H45" s="7">
        <v>4470</v>
      </c>
      <c r="I45" s="7" t="s">
        <v>160</v>
      </c>
      <c r="J45" s="7">
        <v>90</v>
      </c>
      <c r="K45" s="7">
        <v>-8.5113649356613994</v>
      </c>
      <c r="L45" s="7">
        <v>-0.29583953941449997</v>
      </c>
      <c r="M45" s="7">
        <v>1.92063624121583</v>
      </c>
      <c r="N45" s="7">
        <v>-1.4286829022190399</v>
      </c>
      <c r="O45" s="7">
        <v>0.25980914370472602</v>
      </c>
      <c r="P45" s="7">
        <v>-2.9711613649981001</v>
      </c>
      <c r="Q45" s="7">
        <v>-17.392922885903999</v>
      </c>
      <c r="R45" s="7">
        <v>-0.31867448341482402</v>
      </c>
      <c r="S45" s="7">
        <v>-0.117422667122455</v>
      </c>
      <c r="T45" s="7">
        <v>-16.6488841671123</v>
      </c>
      <c r="U45" s="7">
        <v>-0.31902034409284502</v>
      </c>
      <c r="V45" s="7">
        <v>-0.11757704868833201</v>
      </c>
      <c r="W45" s="7">
        <v>-10.782742055703601</v>
      </c>
      <c r="X45" s="7">
        <v>-8.7901476202478808</v>
      </c>
      <c r="Y45" s="7">
        <v>-8.2869368561208407</v>
      </c>
      <c r="Z45" s="7">
        <v>0.60317787502054199</v>
      </c>
      <c r="AA45" s="7">
        <v>0.60797653746708502</v>
      </c>
      <c r="AB45" s="7">
        <v>0.611385498699894</v>
      </c>
      <c r="AC45" s="7">
        <v>0.23606696744386499</v>
      </c>
      <c r="AD45" s="7">
        <v>0.242561341232396</v>
      </c>
      <c r="AE45" s="7">
        <v>0.25200596287754201</v>
      </c>
      <c r="AF45" s="7">
        <v>-0.81301193646771497</v>
      </c>
      <c r="AG45" s="7">
        <v>-8.05764995727314E-2</v>
      </c>
      <c r="AH45" s="7">
        <v>6.4709044079165299</v>
      </c>
      <c r="AI45" s="7">
        <v>24.099830454620001</v>
      </c>
      <c r="AJ45" s="7">
        <v>22.4680242685486</v>
      </c>
      <c r="AK45" s="7">
        <v>21.324984201829398</v>
      </c>
      <c r="AL45" s="7">
        <f>AVERAGE(AK43:AK45)</f>
        <v>28.713223556838201</v>
      </c>
      <c r="AM45" s="17">
        <f>STDEV(AK43:AK45)/SQRT(COUNT(AK43:AK45))</f>
        <v>3.9104730386995028</v>
      </c>
    </row>
    <row r="46" spans="1:39" s="3" customFormat="1">
      <c r="A46" s="3">
        <v>4397</v>
      </c>
      <c r="B46" s="3" t="s">
        <v>0</v>
      </c>
      <c r="C46" s="3" t="s">
        <v>1</v>
      </c>
      <c r="D46" s="3" t="s">
        <v>2</v>
      </c>
      <c r="E46" s="3" t="s">
        <v>3</v>
      </c>
      <c r="F46" s="3" t="s">
        <v>120</v>
      </c>
      <c r="G46" s="3" t="s">
        <v>121</v>
      </c>
      <c r="H46" s="3">
        <v>4397</v>
      </c>
      <c r="I46" s="3" t="s">
        <v>122</v>
      </c>
      <c r="J46" s="3">
        <v>90</v>
      </c>
      <c r="K46" s="3">
        <v>-3.6976249866037301</v>
      </c>
      <c r="L46" s="3">
        <v>-5.4227121289954798</v>
      </c>
      <c r="M46" s="3">
        <v>6.2829511726457703</v>
      </c>
      <c r="N46" s="3">
        <v>-6.5346184146702999</v>
      </c>
      <c r="O46" s="3">
        <v>-0.377570878724864</v>
      </c>
      <c r="P46" s="3">
        <v>-13.1278151518587</v>
      </c>
      <c r="Q46" s="3">
        <v>-27.4654802711391</v>
      </c>
      <c r="R46" s="3">
        <v>-0.39645767287830003</v>
      </c>
      <c r="S46" s="3">
        <v>-0.103332979480229</v>
      </c>
      <c r="T46" s="3">
        <v>-21.415002373516501</v>
      </c>
      <c r="U46" s="3">
        <v>-0.39602943704652699</v>
      </c>
      <c r="V46" s="3">
        <v>-9.1119857323833195E-2</v>
      </c>
      <c r="W46" s="3">
        <v>-12.428613097020101</v>
      </c>
      <c r="X46" s="3">
        <v>-3.9792028799772501</v>
      </c>
      <c r="Y46" s="3">
        <v>-13.375130583044699</v>
      </c>
      <c r="Z46" s="3">
        <v>0.53440943931227003</v>
      </c>
      <c r="AA46" s="3">
        <v>0.52781941682373101</v>
      </c>
      <c r="AB46" s="3">
        <v>0.52252666612037402</v>
      </c>
      <c r="AC46" s="3">
        <v>0.28100902952202</v>
      </c>
      <c r="AD46" s="3">
        <v>0.28074570285835998</v>
      </c>
      <c r="AE46" s="3">
        <v>0.29291376611195002</v>
      </c>
      <c r="AF46" s="3">
        <v>-1.46832836391136</v>
      </c>
      <c r="AG46" s="3">
        <v>0.83458629682924801</v>
      </c>
      <c r="AH46" s="3">
        <v>1.7532656084400999</v>
      </c>
      <c r="AI46" s="3">
        <v>50.915393415868699</v>
      </c>
      <c r="AJ46" s="3">
        <v>53.8835794648583</v>
      </c>
      <c r="AK46" s="3">
        <v>56.327441637797797</v>
      </c>
      <c r="AM46" s="16"/>
    </row>
    <row r="47" spans="1:39" s="7" customFormat="1">
      <c r="A47" s="7">
        <v>4499</v>
      </c>
      <c r="B47" s="7" t="s">
        <v>0</v>
      </c>
      <c r="C47" s="7" t="s">
        <v>1</v>
      </c>
      <c r="D47" s="7" t="s">
        <v>7</v>
      </c>
      <c r="E47" s="7" t="s">
        <v>3</v>
      </c>
      <c r="F47" s="7" t="s">
        <v>201</v>
      </c>
      <c r="G47" s="7" t="s">
        <v>202</v>
      </c>
      <c r="H47" s="7">
        <v>4499</v>
      </c>
      <c r="I47" s="7" t="s">
        <v>203</v>
      </c>
      <c r="J47" s="7">
        <v>90</v>
      </c>
      <c r="K47" s="7">
        <v>-7.7300072092669696</v>
      </c>
      <c r="L47" s="7">
        <v>-0.47729244640555302</v>
      </c>
      <c r="M47" s="7">
        <v>2.6513636502073901</v>
      </c>
      <c r="N47" s="7">
        <v>-1.60812609110664</v>
      </c>
      <c r="O47" s="7">
        <v>0.82215432026777102</v>
      </c>
      <c r="P47" s="7">
        <v>-3.30418742621405</v>
      </c>
      <c r="Q47" s="7">
        <v>-10.283849014182101</v>
      </c>
      <c r="R47" s="7">
        <v>-0.32292255532849501</v>
      </c>
      <c r="S47" s="7">
        <v>-6.9650980786181704E-2</v>
      </c>
      <c r="T47" s="7">
        <v>-9.9433377055410705</v>
      </c>
      <c r="U47" s="7">
        <v>-0.32394108461337601</v>
      </c>
      <c r="V47" s="7">
        <v>-6.9235283567629202E-2</v>
      </c>
      <c r="W47" s="7">
        <v>-6.4218383393192298</v>
      </c>
      <c r="X47" s="7">
        <v>-8.0069411147138307</v>
      </c>
      <c r="Y47" s="7">
        <v>-8.4674243180373203</v>
      </c>
      <c r="Z47" s="7">
        <v>0.59559005007006205</v>
      </c>
      <c r="AA47" s="7">
        <v>0.60105212940902897</v>
      </c>
      <c r="AB47" s="7">
        <v>0.60457996756200105</v>
      </c>
      <c r="AC47" s="7">
        <v>0.28800520162446103</v>
      </c>
      <c r="AD47" s="7">
        <v>0.29947102741208598</v>
      </c>
      <c r="AE47" s="7">
        <v>0.31928091316363</v>
      </c>
      <c r="AF47" s="7">
        <v>-6.3929589562587399</v>
      </c>
      <c r="AG47" s="7">
        <v>-1.61089112293332</v>
      </c>
      <c r="AH47" s="7">
        <v>12.841501914467001</v>
      </c>
      <c r="AI47" s="7">
        <v>26.736170225284599</v>
      </c>
      <c r="AJ47" s="7">
        <v>24.831387714299002</v>
      </c>
      <c r="AK47" s="7">
        <v>23.620250815159</v>
      </c>
      <c r="AM47" s="17"/>
    </row>
    <row r="48" spans="1:39" s="7" customFormat="1">
      <c r="A48" s="7">
        <v>4500</v>
      </c>
      <c r="B48" s="7" t="s">
        <v>0</v>
      </c>
      <c r="C48" s="7" t="s">
        <v>1</v>
      </c>
      <c r="D48" s="7" t="s">
        <v>14</v>
      </c>
      <c r="E48" s="7" t="s">
        <v>3</v>
      </c>
      <c r="F48" s="7" t="s">
        <v>201</v>
      </c>
      <c r="G48" s="7" t="s">
        <v>204</v>
      </c>
      <c r="H48" s="7">
        <v>4500</v>
      </c>
      <c r="I48" s="7" t="s">
        <v>205</v>
      </c>
      <c r="J48" s="7">
        <v>90</v>
      </c>
      <c r="K48" s="7">
        <v>-7.76460995098138</v>
      </c>
      <c r="L48" s="7">
        <v>-0.554825950856488</v>
      </c>
      <c r="M48" s="7">
        <v>2.6159823818367101</v>
      </c>
      <c r="N48" s="7">
        <v>-1.68556712691848</v>
      </c>
      <c r="O48" s="7">
        <v>0.72195053724606295</v>
      </c>
      <c r="P48" s="7">
        <v>-3.4397403626267899</v>
      </c>
      <c r="Q48" s="7">
        <v>-17.6042975896911</v>
      </c>
      <c r="R48" s="7">
        <v>-0.31073712746797799</v>
      </c>
      <c r="S48" s="7">
        <v>-6.7568203481498806E-2</v>
      </c>
      <c r="T48" s="7">
        <v>-17.080093302475799</v>
      </c>
      <c r="U48" s="7">
        <v>-0.31163131985577902</v>
      </c>
      <c r="V48" s="7">
        <v>-6.7108391771050394E-2</v>
      </c>
      <c r="W48" s="7">
        <v>-11.051552719564199</v>
      </c>
      <c r="X48" s="7">
        <v>-8.0415438564282393</v>
      </c>
      <c r="Y48" s="7">
        <v>-8.5443326667367998</v>
      </c>
      <c r="Z48" s="7">
        <v>0.60917921833724997</v>
      </c>
      <c r="AA48" s="7">
        <v>0.61455210505015101</v>
      </c>
      <c r="AB48" s="7">
        <v>0.61789598529142598</v>
      </c>
      <c r="AC48" s="7">
        <v>0.29059214223261098</v>
      </c>
      <c r="AD48" s="7">
        <v>0.30211432772104901</v>
      </c>
      <c r="AE48" s="7">
        <v>0.322264168414435</v>
      </c>
      <c r="AF48" s="7">
        <v>-1.2888547146371601</v>
      </c>
      <c r="AG48" s="7">
        <v>1.57384299746024E-2</v>
      </c>
      <c r="AH48" s="7">
        <v>6.4553248160646497</v>
      </c>
      <c r="AI48" s="7">
        <v>22.063241843744802</v>
      </c>
      <c r="AJ48" s="7">
        <v>20.2749996825431</v>
      </c>
      <c r="AK48" s="7">
        <v>19.1783365933045</v>
      </c>
      <c r="AM48" s="17"/>
    </row>
    <row r="49" spans="1:39" s="7" customFormat="1">
      <c r="A49" s="7">
        <v>4502</v>
      </c>
      <c r="B49" s="7" t="s">
        <v>0</v>
      </c>
      <c r="C49" s="7" t="s">
        <v>1</v>
      </c>
      <c r="D49" s="7" t="s">
        <v>2</v>
      </c>
      <c r="E49" s="7" t="s">
        <v>3</v>
      </c>
      <c r="F49" s="7" t="s">
        <v>201</v>
      </c>
      <c r="G49" s="7" t="s">
        <v>206</v>
      </c>
      <c r="H49" s="7">
        <v>4502</v>
      </c>
      <c r="I49" s="7" t="s">
        <v>207</v>
      </c>
      <c r="J49" s="7">
        <v>90</v>
      </c>
      <c r="K49" s="7">
        <v>-7.7687858091199598</v>
      </c>
      <c r="L49" s="7">
        <v>-0.552606842187922</v>
      </c>
      <c r="M49" s="7">
        <v>2.6123428353310798</v>
      </c>
      <c r="N49" s="7">
        <v>-1.6833484669482901</v>
      </c>
      <c r="O49" s="7">
        <v>0.71224518919587598</v>
      </c>
      <c r="P49" s="7">
        <v>-3.4159554536369199</v>
      </c>
      <c r="Q49" s="7">
        <v>-14.177354739714801</v>
      </c>
      <c r="R49" s="7">
        <v>-0.32717222281507802</v>
      </c>
      <c r="S49" s="7">
        <v>-5.75335804298166E-2</v>
      </c>
      <c r="T49" s="7">
        <v>-13.662584134264399</v>
      </c>
      <c r="U49" s="7">
        <v>-0.32805400166797</v>
      </c>
      <c r="V49" s="7">
        <v>-5.7023201065401201E-2</v>
      </c>
      <c r="W49" s="7">
        <v>-8.8071080463973601</v>
      </c>
      <c r="X49" s="7">
        <v>-8.04571971456682</v>
      </c>
      <c r="Y49" s="7">
        <v>-8.5421314508303592</v>
      </c>
      <c r="Z49" s="7">
        <v>0.591150712889569</v>
      </c>
      <c r="AA49" s="7">
        <v>0.59657340168323503</v>
      </c>
      <c r="AB49" s="7">
        <v>0.60012885001276906</v>
      </c>
      <c r="AC49" s="7">
        <v>0.30292735586687303</v>
      </c>
      <c r="AD49" s="7">
        <v>0.31460478367664402</v>
      </c>
      <c r="AE49" s="7">
        <v>0.33599997865465098</v>
      </c>
      <c r="AF49" s="7">
        <v>-3.7169236789896298</v>
      </c>
      <c r="AG49" s="7">
        <v>-0.77151940467598901</v>
      </c>
      <c r="AH49" s="7">
        <v>9.8395219196985604</v>
      </c>
      <c r="AI49" s="7">
        <v>28.311495727787499</v>
      </c>
      <c r="AJ49" s="7">
        <v>26.3905508460143</v>
      </c>
      <c r="AK49" s="7">
        <v>25.150813282308501</v>
      </c>
      <c r="AL49" s="7">
        <f>AVERAGE(AK47:AK49)</f>
        <v>22.649800230257338</v>
      </c>
      <c r="AM49" s="17">
        <f>STDEV(AK47:AK49)/SQRT(COUNT(AK47:AK49))</f>
        <v>1.7910844204443881</v>
      </c>
    </row>
    <row r="50" spans="1:39" s="3" customFormat="1">
      <c r="A50" s="3">
        <v>4503</v>
      </c>
      <c r="B50" s="3" t="s">
        <v>0</v>
      </c>
      <c r="C50" s="3" t="s">
        <v>1</v>
      </c>
      <c r="D50" s="3" t="s">
        <v>2</v>
      </c>
      <c r="E50" s="3" t="s">
        <v>3</v>
      </c>
      <c r="F50" s="3" t="s">
        <v>208</v>
      </c>
      <c r="G50" s="3" t="s">
        <v>209</v>
      </c>
      <c r="H50" s="3">
        <v>4503</v>
      </c>
      <c r="I50" s="3" t="s">
        <v>210</v>
      </c>
      <c r="J50" s="3">
        <v>90</v>
      </c>
      <c r="K50" s="3">
        <v>-8.6439123376654994</v>
      </c>
      <c r="L50" s="3">
        <v>0.156444901114666</v>
      </c>
      <c r="M50" s="3">
        <v>1.81141273857959</v>
      </c>
      <c r="N50" s="3">
        <v>-0.97763516358978397</v>
      </c>
      <c r="O50" s="3">
        <v>0.56253074540199599</v>
      </c>
      <c r="P50" s="3">
        <v>-2.0383967538685299</v>
      </c>
      <c r="Q50" s="3">
        <v>-20.866067950778302</v>
      </c>
      <c r="R50" s="3">
        <v>-0.34662523229748698</v>
      </c>
      <c r="S50" s="3">
        <v>-8.9505217623830902E-2</v>
      </c>
      <c r="T50" s="3">
        <v>-20.879874178013999</v>
      </c>
      <c r="U50" s="3">
        <v>-0.34732150553324498</v>
      </c>
      <c r="V50" s="3">
        <v>-8.9184623680363201E-2</v>
      </c>
      <c r="W50" s="3">
        <v>-13.7332854147572</v>
      </c>
      <c r="X50" s="3">
        <v>-8.9208462431123596</v>
      </c>
      <c r="Y50" s="3">
        <v>-7.8387968201309901</v>
      </c>
      <c r="Z50" s="3">
        <v>0.56996423603232704</v>
      </c>
      <c r="AA50" s="3">
        <v>0.57547170509874201</v>
      </c>
      <c r="AB50" s="3">
        <v>0.579284813863292</v>
      </c>
      <c r="AC50" s="3">
        <v>0.26341884815739702</v>
      </c>
      <c r="AD50" s="3">
        <v>0.274905343785042</v>
      </c>
      <c r="AE50" s="3">
        <v>0.293386201072665</v>
      </c>
      <c r="AF50" s="3">
        <v>1.6598107501557</v>
      </c>
      <c r="AG50" s="3">
        <v>0.95727593760802099</v>
      </c>
      <c r="AH50" s="3">
        <v>2.75067234541934</v>
      </c>
      <c r="AI50" s="3">
        <v>36.187208808006901</v>
      </c>
      <c r="AJ50" s="3">
        <v>34.080687314986001</v>
      </c>
      <c r="AK50" s="3">
        <v>32.647191715881398</v>
      </c>
      <c r="AM50" s="16"/>
    </row>
    <row r="51" spans="1:39" s="3" customFormat="1">
      <c r="A51" s="3">
        <v>4506</v>
      </c>
      <c r="B51" s="3" t="s">
        <v>0</v>
      </c>
      <c r="C51" s="3" t="s">
        <v>1</v>
      </c>
      <c r="D51" s="3" t="s">
        <v>2</v>
      </c>
      <c r="E51" s="3" t="s">
        <v>3</v>
      </c>
      <c r="F51" s="3" t="s">
        <v>208</v>
      </c>
      <c r="G51" s="3" t="s">
        <v>211</v>
      </c>
      <c r="H51" s="3">
        <v>4506</v>
      </c>
      <c r="I51" s="3" t="s">
        <v>212</v>
      </c>
      <c r="J51" s="3">
        <v>90</v>
      </c>
      <c r="K51" s="3">
        <v>-8.6370616395191693</v>
      </c>
      <c r="L51" s="3">
        <v>0.157267209165316</v>
      </c>
      <c r="M51" s="3">
        <v>1.81790190441224</v>
      </c>
      <c r="N51" s="3">
        <v>-0.97680005798338698</v>
      </c>
      <c r="O51" s="3">
        <v>0.57491255412145403</v>
      </c>
      <c r="P51" s="3">
        <v>-2.1044655094521199</v>
      </c>
      <c r="Q51" s="3">
        <v>-19.2933891012982</v>
      </c>
      <c r="R51" s="3">
        <v>-0.34164679598161501</v>
      </c>
      <c r="S51" s="3">
        <v>-0.15837409437563901</v>
      </c>
      <c r="T51" s="3">
        <v>-19.3154567402743</v>
      </c>
      <c r="U51" s="3">
        <v>-0.34235791934762899</v>
      </c>
      <c r="V51" s="3">
        <v>-0.15799344136104801</v>
      </c>
      <c r="W51" s="3">
        <v>-12.7065233354973</v>
      </c>
      <c r="X51" s="3">
        <v>-8.9139955449660295</v>
      </c>
      <c r="Y51" s="3">
        <v>-7.8379811423831702</v>
      </c>
      <c r="Z51" s="3">
        <v>0.575525898821861</v>
      </c>
      <c r="AA51" s="3">
        <v>0.58094257620276601</v>
      </c>
      <c r="AB51" s="3">
        <v>0.58465259843466999</v>
      </c>
      <c r="AC51" s="3">
        <v>0.17880741043719101</v>
      </c>
      <c r="AD51" s="3">
        <v>0.18990590212574099</v>
      </c>
      <c r="AE51" s="3">
        <v>0.201963342352243</v>
      </c>
      <c r="AF51" s="3">
        <v>0.55825402625166598</v>
      </c>
      <c r="AG51" s="3">
        <v>0.59732528297270204</v>
      </c>
      <c r="AH51" s="3">
        <v>4.3925688526457796</v>
      </c>
      <c r="AI51" s="3">
        <v>34.0601723634705</v>
      </c>
      <c r="AJ51" s="3">
        <v>32.030201821041999</v>
      </c>
      <c r="AK51" s="3">
        <v>30.662818362649102</v>
      </c>
      <c r="AL51" s="3">
        <f>AVERAGE(AK50:AK51)</f>
        <v>31.655005039265248</v>
      </c>
      <c r="AM51" s="16">
        <f>STDEV(AK50:AK51)/SQRT(COUNT(AK50:AK51))</f>
        <v>0.99218667661614823</v>
      </c>
    </row>
    <row r="52" spans="1:39" s="7" customFormat="1">
      <c r="A52" s="7">
        <v>4508</v>
      </c>
      <c r="B52" s="7" t="s">
        <v>0</v>
      </c>
      <c r="C52" s="7" t="s">
        <v>1</v>
      </c>
      <c r="D52" s="7" t="s">
        <v>2</v>
      </c>
      <c r="E52" s="7" t="s">
        <v>3</v>
      </c>
      <c r="F52" s="7" t="s">
        <v>213</v>
      </c>
      <c r="G52" s="7" t="s">
        <v>214</v>
      </c>
      <c r="H52" s="7">
        <v>4508</v>
      </c>
      <c r="I52" s="7" t="s">
        <v>215</v>
      </c>
      <c r="J52" s="7">
        <v>90</v>
      </c>
      <c r="K52" s="7">
        <v>-4.6226593833686804</v>
      </c>
      <c r="L52" s="7">
        <v>-8.3727787289446205</v>
      </c>
      <c r="M52" s="7">
        <v>5.3066597935526696</v>
      </c>
      <c r="N52" s="7">
        <v>-9.4803757367510304</v>
      </c>
      <c r="O52" s="7">
        <v>-4.3222687846906602</v>
      </c>
      <c r="P52" s="7">
        <v>-18.986243717717102</v>
      </c>
      <c r="Q52" s="7">
        <v>-39.654650289831899</v>
      </c>
      <c r="R52" s="7">
        <v>-0.44235419861833902</v>
      </c>
      <c r="S52" s="7">
        <v>-0.14945160196455401</v>
      </c>
      <c r="T52" s="7">
        <v>-27.051929701780601</v>
      </c>
      <c r="U52" s="7">
        <v>-0.43701026199930199</v>
      </c>
      <c r="V52" s="7">
        <v>-0.145718662343754</v>
      </c>
      <c r="W52" s="7">
        <v>-13.466915710028699</v>
      </c>
      <c r="X52" s="7">
        <v>-4.8995932888155398</v>
      </c>
      <c r="Y52" s="7">
        <v>-16.299248978471301</v>
      </c>
      <c r="Z52" s="7">
        <v>0.47141035410419102</v>
      </c>
      <c r="AA52" s="7">
        <v>0.477289769373482</v>
      </c>
      <c r="AB52" s="7">
        <v>0.48225730735927003</v>
      </c>
      <c r="AC52" s="7">
        <v>0.193806849430603</v>
      </c>
      <c r="AD52" s="7">
        <v>0.20507073174690599</v>
      </c>
      <c r="AE52" s="7">
        <v>0.218466952454031</v>
      </c>
      <c r="AF52" s="7">
        <v>1.3844704418723599</v>
      </c>
      <c r="AG52" s="7">
        <v>0.86365045466297297</v>
      </c>
      <c r="AH52" s="7">
        <v>3.30892291735401</v>
      </c>
      <c r="AI52" s="7">
        <v>83.147244819080896</v>
      </c>
      <c r="AJ52" s="7">
        <v>79.725471666903701</v>
      </c>
      <c r="AK52" s="7">
        <v>76.909976155914805</v>
      </c>
      <c r="AM52" s="17"/>
    </row>
    <row r="53" spans="1:39" s="7" customFormat="1">
      <c r="A53" s="7">
        <v>4509</v>
      </c>
      <c r="B53" s="7" t="s">
        <v>0</v>
      </c>
      <c r="C53" s="7" t="s">
        <v>1</v>
      </c>
      <c r="D53" s="7" t="s">
        <v>2</v>
      </c>
      <c r="E53" s="7" t="s">
        <v>3</v>
      </c>
      <c r="F53" s="7" t="s">
        <v>213</v>
      </c>
      <c r="G53" s="7" t="s">
        <v>216</v>
      </c>
      <c r="H53" s="7">
        <v>4509</v>
      </c>
      <c r="I53" s="7" t="s">
        <v>217</v>
      </c>
      <c r="J53" s="7">
        <v>90</v>
      </c>
      <c r="K53" s="7">
        <v>-4.7023012320649897</v>
      </c>
      <c r="L53" s="7">
        <v>-8.3772578875318899</v>
      </c>
      <c r="M53" s="7">
        <v>5.2314571317962599</v>
      </c>
      <c r="N53" s="7">
        <v>-9.4850116094864507</v>
      </c>
      <c r="O53" s="7">
        <v>-4.4054238046671497</v>
      </c>
      <c r="P53" s="7">
        <v>-18.991986182689999</v>
      </c>
      <c r="Q53" s="7">
        <v>-40.451693867099202</v>
      </c>
      <c r="R53" s="7">
        <v>-0.437072807321498</v>
      </c>
      <c r="S53" s="7">
        <v>-0.122702150468145</v>
      </c>
      <c r="T53" s="7">
        <v>-27.778454346114302</v>
      </c>
      <c r="U53" s="7">
        <v>-0.43162727455304201</v>
      </c>
      <c r="V53" s="7">
        <v>-0.118818670489915</v>
      </c>
      <c r="W53" s="7">
        <v>-13.919698852114699</v>
      </c>
      <c r="X53" s="7">
        <v>-4.97923513751185</v>
      </c>
      <c r="Y53" s="7">
        <v>-16.303692021423601</v>
      </c>
      <c r="Z53" s="7">
        <v>0.477376445476626</v>
      </c>
      <c r="AA53" s="7">
        <v>0.48320340349145502</v>
      </c>
      <c r="AB53" s="7">
        <v>0.48807999775607103</v>
      </c>
      <c r="AC53" s="7">
        <v>0.226830221090352</v>
      </c>
      <c r="AD53" s="7">
        <v>0.23833430228301</v>
      </c>
      <c r="AE53" s="7">
        <v>0.25453813409812598</v>
      </c>
      <c r="AF53" s="7">
        <v>1.8718767222034201</v>
      </c>
      <c r="AG53" s="7">
        <v>1.0219732189614701</v>
      </c>
      <c r="AH53" s="7">
        <v>2.6313325541021699</v>
      </c>
      <c r="AI53" s="7">
        <v>79.675761726072295</v>
      </c>
      <c r="AJ53" s="7">
        <v>76.381349252572093</v>
      </c>
      <c r="AK53" s="7">
        <v>73.694055125189195</v>
      </c>
      <c r="AL53" s="7">
        <f>AVERAGE(AK52:AK53)</f>
        <v>75.302015640552</v>
      </c>
      <c r="AM53" s="17">
        <f>STDEV(AK52:AK53)/SQRT(COUNT(AK52:AK53))</f>
        <v>1.6079605153628052</v>
      </c>
    </row>
    <row r="54" spans="1:39" s="3" customFormat="1">
      <c r="A54" s="3">
        <v>4511</v>
      </c>
      <c r="B54" s="3" t="s">
        <v>0</v>
      </c>
      <c r="C54" s="3" t="s">
        <v>1</v>
      </c>
      <c r="D54" s="3" t="s">
        <v>2</v>
      </c>
      <c r="E54" s="3" t="s">
        <v>3</v>
      </c>
      <c r="F54" s="3" t="s">
        <v>218</v>
      </c>
      <c r="G54" s="3" t="s">
        <v>219</v>
      </c>
      <c r="H54" s="3">
        <v>4511</v>
      </c>
      <c r="I54" s="3" t="s">
        <v>220</v>
      </c>
      <c r="J54" s="3">
        <v>90</v>
      </c>
      <c r="K54" s="3">
        <v>-8.7536412437490192</v>
      </c>
      <c r="L54" s="3">
        <v>-3.0784069938959</v>
      </c>
      <c r="M54" s="3">
        <v>1.5946979995163499</v>
      </c>
      <c r="N54" s="3">
        <v>-4.2058581387184697</v>
      </c>
      <c r="O54" s="3">
        <v>-2.8423770153274202</v>
      </c>
      <c r="P54" s="3">
        <v>-8.5186813412471505</v>
      </c>
      <c r="Q54" s="3">
        <v>-31.5984928315102</v>
      </c>
      <c r="R54" s="3">
        <v>-0.35741813194264399</v>
      </c>
      <c r="S54" s="3">
        <v>-0.13455955181978399</v>
      </c>
      <c r="T54" s="3">
        <v>-25.224375740278301</v>
      </c>
      <c r="U54" s="3">
        <v>-0.35390624435434198</v>
      </c>
      <c r="V54" s="3">
        <v>-0.132683618315557</v>
      </c>
      <c r="W54" s="3">
        <v>-14.397653479188101</v>
      </c>
      <c r="X54" s="3">
        <v>-9.0305751491958794</v>
      </c>
      <c r="Y54" s="3">
        <v>-11.0475659747585</v>
      </c>
      <c r="Z54" s="3">
        <v>0.56297849008120404</v>
      </c>
      <c r="AA54" s="3">
        <v>0.56834987750820298</v>
      </c>
      <c r="AB54" s="3">
        <v>0.57215674923205295</v>
      </c>
      <c r="AC54" s="3">
        <v>0.209714532954063</v>
      </c>
      <c r="AD54" s="3">
        <v>0.22119003958816699</v>
      </c>
      <c r="AE54" s="3">
        <v>0.236135400674264</v>
      </c>
      <c r="AF54" s="3">
        <v>2.3836127881000402</v>
      </c>
      <c r="AG54" s="3">
        <v>1.1886707160774399</v>
      </c>
      <c r="AH54" s="3">
        <v>1.9139036480471101</v>
      </c>
      <c r="AI54" s="3">
        <v>38.922549382125098</v>
      </c>
      <c r="AJ54" s="3">
        <v>36.8129343585572</v>
      </c>
      <c r="AK54" s="3">
        <v>35.343426998792303</v>
      </c>
      <c r="AM54" s="16"/>
    </row>
    <row r="55" spans="1:39" s="3" customFormat="1">
      <c r="A55" s="3">
        <v>4512</v>
      </c>
      <c r="B55" s="3" t="s">
        <v>0</v>
      </c>
      <c r="C55" s="3" t="s">
        <v>1</v>
      </c>
      <c r="D55" s="3" t="s">
        <v>2</v>
      </c>
      <c r="E55" s="3" t="s">
        <v>3</v>
      </c>
      <c r="F55" s="3" t="s">
        <v>218</v>
      </c>
      <c r="G55" s="3" t="s">
        <v>221</v>
      </c>
      <c r="H55" s="3">
        <v>4512</v>
      </c>
      <c r="I55" s="3" t="s">
        <v>222</v>
      </c>
      <c r="J55" s="3">
        <v>90</v>
      </c>
      <c r="K55" s="3">
        <v>-8.7544828110362491</v>
      </c>
      <c r="L55" s="3">
        <v>-3.0098796035325899</v>
      </c>
      <c r="M55" s="3">
        <v>1.5964992219445799</v>
      </c>
      <c r="N55" s="3">
        <v>-4.1374762843467803</v>
      </c>
      <c r="O55" s="3">
        <v>-2.7867533125366601</v>
      </c>
      <c r="P55" s="3">
        <v>-8.37370677005533</v>
      </c>
      <c r="Q55" s="3">
        <v>-31.317581198115199</v>
      </c>
      <c r="R55" s="3">
        <v>-0.37634503797027202</v>
      </c>
      <c r="S55" s="3">
        <v>-0.133330823518377</v>
      </c>
      <c r="T55" s="3">
        <v>-25.0838327604265</v>
      </c>
      <c r="U55" s="3">
        <v>-0.37290264427112102</v>
      </c>
      <c r="V55" s="3">
        <v>-0.13142093890411899</v>
      </c>
      <c r="W55" s="3">
        <v>-14.3528279031264</v>
      </c>
      <c r="X55" s="3">
        <v>-9.0314167164831094</v>
      </c>
      <c r="Y55" s="3">
        <v>-10.979591123488101</v>
      </c>
      <c r="Z55" s="3">
        <v>0.54211112116062798</v>
      </c>
      <c r="AA55" s="3">
        <v>0.54756021531590304</v>
      </c>
      <c r="AB55" s="3">
        <v>0.55160602497804301</v>
      </c>
      <c r="AC55" s="3">
        <v>0.21123029436226401</v>
      </c>
      <c r="AD55" s="3">
        <v>0.222753503657353</v>
      </c>
      <c r="AE55" s="3">
        <v>0.23791003548602299</v>
      </c>
      <c r="AF55" s="3">
        <v>2.3361492066838601</v>
      </c>
      <c r="AG55" s="3">
        <v>1.1728022918961301</v>
      </c>
      <c r="AH55" s="3">
        <v>2.00636343540411</v>
      </c>
      <c r="AI55" s="3">
        <v>47.546851885887499</v>
      </c>
      <c r="AJ55" s="3">
        <v>45.226011726202699</v>
      </c>
      <c r="AK55" s="3">
        <v>43.535076226694201</v>
      </c>
      <c r="AL55" s="3">
        <f>AVERAGE(AK54:AK55)</f>
        <v>39.439251612743249</v>
      </c>
      <c r="AM55" s="16">
        <f>STDEV(AK54:AK55)/SQRT(COUNT(AK54:AK55))</f>
        <v>4.0958246139509749</v>
      </c>
    </row>
    <row r="56" spans="1:39" s="7" customFormat="1">
      <c r="A56" s="7">
        <v>4514</v>
      </c>
      <c r="B56" s="7" t="s">
        <v>0</v>
      </c>
      <c r="C56" s="7" t="s">
        <v>1</v>
      </c>
      <c r="D56" s="7" t="s">
        <v>2</v>
      </c>
      <c r="E56" s="7" t="s">
        <v>3</v>
      </c>
      <c r="F56" s="7" t="s">
        <v>223</v>
      </c>
      <c r="G56" s="7" t="s">
        <v>224</v>
      </c>
      <c r="H56" s="7">
        <v>4514</v>
      </c>
      <c r="I56" s="7" t="s">
        <v>225</v>
      </c>
      <c r="J56" s="7">
        <v>90</v>
      </c>
      <c r="K56" s="7">
        <v>-10.019086745091499</v>
      </c>
      <c r="L56" s="7">
        <v>-2.3645158942243598</v>
      </c>
      <c r="M56" s="7">
        <v>0.42552047203473498</v>
      </c>
      <c r="N56" s="7">
        <v>-3.4961313697553602</v>
      </c>
      <c r="O56" s="7">
        <v>-3.3525423002892198</v>
      </c>
      <c r="P56" s="7">
        <v>-7.0539441352232499</v>
      </c>
      <c r="Q56" s="7">
        <v>-26.4981141340512</v>
      </c>
      <c r="R56" s="7">
        <v>-0.360160713552443</v>
      </c>
      <c r="S56" s="7">
        <v>-8.5488443048187299E-2</v>
      </c>
      <c r="T56" s="7">
        <v>-20.232232567748301</v>
      </c>
      <c r="U56" s="7">
        <v>-0.35602126594099198</v>
      </c>
      <c r="V56" s="7">
        <v>-8.3768583637598107E-2</v>
      </c>
      <c r="W56" s="7">
        <v>-11.1517224624452</v>
      </c>
      <c r="X56" s="7">
        <v>-10.2960206505384</v>
      </c>
      <c r="Y56" s="7">
        <v>-10.339431007614399</v>
      </c>
      <c r="Z56" s="7">
        <v>0.56075126741907599</v>
      </c>
      <c r="AA56" s="7">
        <v>0.56606907245896099</v>
      </c>
      <c r="AB56" s="7">
        <v>0.569866959849059</v>
      </c>
      <c r="AC56" s="7">
        <v>0.26977906427447301</v>
      </c>
      <c r="AD56" s="7">
        <v>0.28174935642791898</v>
      </c>
      <c r="AE56" s="7">
        <v>0.30218836310533498</v>
      </c>
      <c r="AF56" s="7">
        <v>-1.04299244766373</v>
      </c>
      <c r="AG56" s="7">
        <v>5.6966040732778597E-2</v>
      </c>
      <c r="AH56" s="7">
        <v>7.4496854156524401</v>
      </c>
      <c r="AI56" s="7">
        <v>39.810014029233599</v>
      </c>
      <c r="AJ56" s="7">
        <v>37.703482085667098</v>
      </c>
      <c r="AK56" s="7">
        <v>36.2248058269452</v>
      </c>
      <c r="AM56" s="17"/>
    </row>
    <row r="57" spans="1:39" s="7" customFormat="1">
      <c r="A57" s="7">
        <v>4515</v>
      </c>
      <c r="B57" s="7" t="s">
        <v>0</v>
      </c>
      <c r="C57" s="7" t="s">
        <v>1</v>
      </c>
      <c r="D57" s="7" t="s">
        <v>2</v>
      </c>
      <c r="E57" s="7" t="s">
        <v>3</v>
      </c>
      <c r="F57" s="7" t="s">
        <v>223</v>
      </c>
      <c r="G57" s="7" t="s">
        <v>226</v>
      </c>
      <c r="H57" s="7">
        <v>4515</v>
      </c>
      <c r="I57" s="7" t="s">
        <v>227</v>
      </c>
      <c r="J57" s="7">
        <v>90</v>
      </c>
      <c r="K57" s="7">
        <v>-10.043105658536501</v>
      </c>
      <c r="L57" s="7">
        <v>-2.0776339041669001</v>
      </c>
      <c r="M57" s="7">
        <v>0.412837712196784</v>
      </c>
      <c r="N57" s="7">
        <v>-3.2099094452397399</v>
      </c>
      <c r="O57" s="7">
        <v>-3.08652868584424</v>
      </c>
      <c r="P57" s="7">
        <v>-6.4738620845248596</v>
      </c>
      <c r="Q57" s="7">
        <v>-33.508254883044899</v>
      </c>
      <c r="R57" s="7">
        <v>-0.36024411688322899</v>
      </c>
      <c r="S57" s="7">
        <v>-6.1170722381995397E-2</v>
      </c>
      <c r="T57" s="7">
        <v>-27.818506802468999</v>
      </c>
      <c r="U57" s="7">
        <v>-0.35643397221688</v>
      </c>
      <c r="V57" s="7">
        <v>-5.9541365506316002E-2</v>
      </c>
      <c r="W57" s="7">
        <v>-16.3351558325285</v>
      </c>
      <c r="X57" s="7">
        <v>-10.3200395639834</v>
      </c>
      <c r="Y57" s="7">
        <v>-10.054862158532201</v>
      </c>
      <c r="Z57" s="7">
        <v>0.56033065016473405</v>
      </c>
      <c r="AA57" s="7">
        <v>0.56562901904877705</v>
      </c>
      <c r="AB57" s="7">
        <v>0.56941990550860799</v>
      </c>
      <c r="AC57" s="7">
        <v>0.29956251396174499</v>
      </c>
      <c r="AD57" s="7">
        <v>0.31176290759459202</v>
      </c>
      <c r="AE57" s="7">
        <v>0.334966118773451</v>
      </c>
      <c r="AF57" s="7">
        <v>4.4241455935446696</v>
      </c>
      <c r="AG57" s="7">
        <v>1.8623103545678901</v>
      </c>
      <c r="AH57" s="7">
        <v>-1.3234223235942799</v>
      </c>
      <c r="AI57" s="7">
        <v>39.978465730976602</v>
      </c>
      <c r="AJ57" s="7">
        <v>37.8761873773175</v>
      </c>
      <c r="AK57" s="7">
        <v>36.397767731768901</v>
      </c>
      <c r="AM57" s="17"/>
    </row>
    <row r="58" spans="1:39" s="7" customFormat="1">
      <c r="A58" s="7">
        <v>4517</v>
      </c>
      <c r="B58" s="7" t="s">
        <v>0</v>
      </c>
      <c r="C58" s="7" t="s">
        <v>1</v>
      </c>
      <c r="D58" s="7" t="s">
        <v>2</v>
      </c>
      <c r="E58" s="7" t="s">
        <v>3</v>
      </c>
      <c r="F58" s="7" t="s">
        <v>223</v>
      </c>
      <c r="G58" s="7" t="s">
        <v>228</v>
      </c>
      <c r="H58" s="7">
        <v>4517</v>
      </c>
      <c r="I58" s="7" t="s">
        <v>229</v>
      </c>
      <c r="J58" s="7">
        <v>90</v>
      </c>
      <c r="K58" s="7">
        <v>-10.067480807882999</v>
      </c>
      <c r="L58" s="7">
        <v>-1.9105638272563199</v>
      </c>
      <c r="M58" s="7">
        <v>0.39567368246941098</v>
      </c>
      <c r="N58" s="7">
        <v>-3.0432446047193502</v>
      </c>
      <c r="O58" s="7">
        <v>-2.9319242505981702</v>
      </c>
      <c r="P58" s="7">
        <v>-6.1738123709235904</v>
      </c>
      <c r="Q58" s="7">
        <v>-28.222454174308499</v>
      </c>
      <c r="R58" s="7">
        <v>-0.35117445135629299</v>
      </c>
      <c r="S58" s="7">
        <v>-9.1442929321212604E-2</v>
      </c>
      <c r="T58" s="7">
        <v>-22.803548751655899</v>
      </c>
      <c r="U58" s="7">
        <v>-0.34755677363027099</v>
      </c>
      <c r="V58" s="7">
        <v>-8.9791950017167402E-2</v>
      </c>
      <c r="W58" s="7">
        <v>-13.130693280650799</v>
      </c>
      <c r="X58" s="7">
        <v>-10.3444147133299</v>
      </c>
      <c r="Y58" s="7">
        <v>-9.8891391743427999</v>
      </c>
      <c r="Z58" s="7">
        <v>0.57015972473218601</v>
      </c>
      <c r="AA58" s="7">
        <v>0.57536986296178105</v>
      </c>
      <c r="AB58" s="7">
        <v>0.57902198468433697</v>
      </c>
      <c r="AC58" s="7">
        <v>0.26228592214173302</v>
      </c>
      <c r="AD58" s="7">
        <v>0.274329442057755</v>
      </c>
      <c r="AE58" s="7">
        <v>0.294500511699752</v>
      </c>
      <c r="AF58" s="7">
        <v>1.05741354726153</v>
      </c>
      <c r="AG58" s="7">
        <v>0.74692135702681595</v>
      </c>
      <c r="AH58" s="7">
        <v>4.2673913014730003</v>
      </c>
      <c r="AI58" s="7">
        <v>36.111694312478399</v>
      </c>
      <c r="AJ58" s="7">
        <v>34.119250622325097</v>
      </c>
      <c r="AK58" s="7">
        <v>32.745356195411198</v>
      </c>
      <c r="AL58" s="7">
        <f>AVERAGE(AK56:AK58)</f>
        <v>35.122643251375102</v>
      </c>
      <c r="AM58" s="17">
        <f>STDEV(AK56:AK58)/SQRT(COUNT(AK56:AK58))</f>
        <v>1.1896917338776181</v>
      </c>
    </row>
    <row r="59" spans="1:39" s="3" customFormat="1">
      <c r="A59" s="3">
        <v>4518</v>
      </c>
      <c r="B59" s="3" t="s">
        <v>0</v>
      </c>
      <c r="C59" s="3" t="s">
        <v>1</v>
      </c>
      <c r="D59" s="3" t="s">
        <v>2</v>
      </c>
      <c r="E59" s="3" t="s">
        <v>3</v>
      </c>
      <c r="F59" s="3" t="s">
        <v>230</v>
      </c>
      <c r="G59" s="3" t="s">
        <v>231</v>
      </c>
      <c r="H59" s="3">
        <v>4518</v>
      </c>
      <c r="I59" s="3" t="s">
        <v>232</v>
      </c>
      <c r="J59" s="3">
        <v>90</v>
      </c>
      <c r="K59" s="3">
        <v>-9.3510722798211194</v>
      </c>
      <c r="L59" s="3">
        <v>-0.35456856490362298</v>
      </c>
      <c r="M59" s="3">
        <v>1.1261350473741301</v>
      </c>
      <c r="N59" s="3">
        <v>-1.48904850316398</v>
      </c>
      <c r="O59" s="3">
        <v>-0.61386580719974004</v>
      </c>
      <c r="P59" s="3">
        <v>-3.0231708110978199</v>
      </c>
      <c r="Q59" s="3">
        <v>-23.890922383358401</v>
      </c>
      <c r="R59" s="3">
        <v>-0.31093619434854097</v>
      </c>
      <c r="S59" s="3">
        <v>-4.7422360061213899E-2</v>
      </c>
      <c r="T59" s="3">
        <v>-22.203763652453599</v>
      </c>
      <c r="U59" s="3">
        <v>-0.310178919500601</v>
      </c>
      <c r="V59" s="3">
        <v>-4.6590130798806403E-2</v>
      </c>
      <c r="W59" s="3">
        <v>-14.0150745082606</v>
      </c>
      <c r="X59" s="3">
        <v>-9.6280061852679797</v>
      </c>
      <c r="Y59" s="3">
        <v>-8.3456899641070592</v>
      </c>
      <c r="Z59" s="3">
        <v>0.61129307730718496</v>
      </c>
      <c r="AA59" s="3">
        <v>0.61629305349344099</v>
      </c>
      <c r="AB59" s="3">
        <v>0.61945637191793901</v>
      </c>
      <c r="AC59" s="3">
        <v>0.31544326323462002</v>
      </c>
      <c r="AD59" s="3">
        <v>0.32787129668165399</v>
      </c>
      <c r="AE59" s="3">
        <v>0.35300593879926301</v>
      </c>
      <c r="AF59" s="3">
        <v>1.98481611332386</v>
      </c>
      <c r="AG59" s="3">
        <v>1.0541769809346899</v>
      </c>
      <c r="AH59" s="3">
        <v>2.7418206644843499</v>
      </c>
      <c r="AI59" s="3">
        <v>21.3557988437158</v>
      </c>
      <c r="AJ59" s="3">
        <v>19.702499006223</v>
      </c>
      <c r="AK59" s="3">
        <v>18.6707805757176</v>
      </c>
      <c r="AM59" s="16"/>
    </row>
    <row r="60" spans="1:39" s="3" customFormat="1">
      <c r="A60" s="3">
        <v>4520</v>
      </c>
      <c r="B60" s="3" t="s">
        <v>0</v>
      </c>
      <c r="C60" s="3" t="s">
        <v>1</v>
      </c>
      <c r="D60" s="3" t="s">
        <v>2</v>
      </c>
      <c r="E60" s="3" t="s">
        <v>3</v>
      </c>
      <c r="F60" s="3" t="s">
        <v>230</v>
      </c>
      <c r="G60" s="3" t="s">
        <v>233</v>
      </c>
      <c r="H60" s="3">
        <v>4520</v>
      </c>
      <c r="I60" s="3" t="s">
        <v>234</v>
      </c>
      <c r="J60" s="3">
        <v>90</v>
      </c>
      <c r="K60" s="3">
        <v>-9.1934341262354504</v>
      </c>
      <c r="L60" s="3">
        <v>-0.36224796192168002</v>
      </c>
      <c r="M60" s="3">
        <v>1.2746142567242</v>
      </c>
      <c r="N60" s="3">
        <v>-1.4963810284757599</v>
      </c>
      <c r="O60" s="3">
        <v>-0.47074030835592101</v>
      </c>
      <c r="P60" s="3">
        <v>-3.0500457444442999</v>
      </c>
      <c r="Q60" s="3">
        <v>-24.7412770320344</v>
      </c>
      <c r="R60" s="3">
        <v>-0.313572059151007</v>
      </c>
      <c r="S60" s="3">
        <v>-5.9691018597265999E-2</v>
      </c>
      <c r="T60" s="3">
        <v>-23.195993293485699</v>
      </c>
      <c r="U60" s="3">
        <v>-0.31299160579217</v>
      </c>
      <c r="V60" s="3">
        <v>-5.8803401250720401E-2</v>
      </c>
      <c r="W60" s="3">
        <v>-14.715001026089601</v>
      </c>
      <c r="X60" s="3">
        <v>-9.4703680316823107</v>
      </c>
      <c r="Y60" s="3">
        <v>-8.3533074418393696</v>
      </c>
      <c r="Z60" s="3">
        <v>0.608257825680943</v>
      </c>
      <c r="AA60" s="3">
        <v>0.61323136168952797</v>
      </c>
      <c r="AB60" s="3">
        <v>0.61641243645987098</v>
      </c>
      <c r="AC60" s="3">
        <v>0.30036577812672499</v>
      </c>
      <c r="AD60" s="3">
        <v>0.31277929460939402</v>
      </c>
      <c r="AE60" s="3">
        <v>0.336871347349396</v>
      </c>
      <c r="AF60" s="3">
        <v>2.71437268443196</v>
      </c>
      <c r="AG60" s="3">
        <v>1.29652618620682</v>
      </c>
      <c r="AH60" s="3">
        <v>1.5199063675056399</v>
      </c>
      <c r="AI60" s="3">
        <v>22.373202838092201</v>
      </c>
      <c r="AJ60" s="3">
        <v>20.711565167095301</v>
      </c>
      <c r="AK60" s="3">
        <v>19.6633632854772</v>
      </c>
      <c r="AL60" s="3">
        <f>AVERAGE(AK59:AK60)</f>
        <v>19.167071930597402</v>
      </c>
      <c r="AM60" s="16">
        <f>STDEV(AK59:AK60)/SQRT(COUNT(AK59:AK60))</f>
        <v>0.49629135487979953</v>
      </c>
    </row>
    <row r="61" spans="1:39" s="12" customFormat="1">
      <c r="AM61" s="18"/>
    </row>
    <row r="62" spans="1:39" s="12" customFormat="1">
      <c r="AM62" s="18"/>
    </row>
    <row r="63" spans="1:39" s="12" customFormat="1">
      <c r="AM63" s="18"/>
    </row>
    <row r="64" spans="1:39" s="12" customFormat="1">
      <c r="AM64" s="18"/>
    </row>
    <row r="65" spans="1:40" s="11" customFormat="1">
      <c r="A65" s="10">
        <v>4484</v>
      </c>
      <c r="B65" s="10" t="s">
        <v>0</v>
      </c>
      <c r="C65" s="10" t="s">
        <v>174</v>
      </c>
      <c r="D65" s="10" t="s">
        <v>2</v>
      </c>
      <c r="E65" s="10" t="s">
        <v>3</v>
      </c>
      <c r="F65" s="10" t="s">
        <v>178</v>
      </c>
      <c r="G65" s="10" t="s">
        <v>179</v>
      </c>
      <c r="H65" s="10">
        <v>4484</v>
      </c>
      <c r="I65" s="10" t="s">
        <v>180</v>
      </c>
      <c r="J65" s="10">
        <v>90</v>
      </c>
      <c r="K65" s="10">
        <v>-8.8543903223121507</v>
      </c>
      <c r="L65" s="10">
        <v>0.15397376338678301</v>
      </c>
      <c r="M65" s="10">
        <v>1.61262531950695</v>
      </c>
      <c r="N65" s="10">
        <v>-0.98054281930767495</v>
      </c>
      <c r="O65" s="10">
        <v>0.43473309643732699</v>
      </c>
      <c r="P65" s="10">
        <v>-1.9785198837765601</v>
      </c>
      <c r="Q65" s="10">
        <v>-24.559965372825101</v>
      </c>
      <c r="R65" s="10">
        <v>-0.26381717114842501</v>
      </c>
      <c r="S65" s="10">
        <v>-1.1642642826142E-2</v>
      </c>
      <c r="T65" s="10">
        <v>-24.356408925570801</v>
      </c>
      <c r="U65" s="10">
        <v>-0.26439539604832102</v>
      </c>
      <c r="V65" s="10">
        <v>-1.15247385785156E-2</v>
      </c>
      <c r="W65" s="10">
        <v>-16.070724344760301</v>
      </c>
      <c r="X65" s="10">
        <v>-9.1331730068986303</v>
      </c>
      <c r="Y65" s="10">
        <v>-7.8407504159947399</v>
      </c>
      <c r="Z65" s="10">
        <v>0.66340763782818502</v>
      </c>
      <c r="AA65" s="10">
        <v>0.66766406937627198</v>
      </c>
      <c r="AB65" s="10">
        <v>0.67043240418800898</v>
      </c>
      <c r="AC65" s="10">
        <v>0.35961872258429101</v>
      </c>
      <c r="AD65" s="10">
        <v>0.367465848259177</v>
      </c>
      <c r="AE65" s="10">
        <v>0.386232041114837</v>
      </c>
      <c r="AF65" s="10">
        <v>3.6753174839129898</v>
      </c>
      <c r="AG65" s="10">
        <v>1.89364076846903</v>
      </c>
      <c r="AH65" s="10">
        <v>-1.22122969318306</v>
      </c>
      <c r="AI65" s="10">
        <v>5.3783879041150202</v>
      </c>
      <c r="AJ65" s="10">
        <v>4.1854218251642097</v>
      </c>
      <c r="AK65" s="10">
        <v>3.4177074989186198</v>
      </c>
      <c r="AL65" s="10"/>
      <c r="AM65" s="17"/>
      <c r="AN65" s="11" t="s">
        <v>195</v>
      </c>
    </row>
    <row r="66" spans="1:40">
      <c r="A66" s="7">
        <v>4486</v>
      </c>
      <c r="B66" s="7" t="s">
        <v>0</v>
      </c>
      <c r="C66" s="7" t="s">
        <v>174</v>
      </c>
      <c r="D66" s="7" t="s">
        <v>2</v>
      </c>
      <c r="E66" s="7" t="s">
        <v>3</v>
      </c>
      <c r="F66" s="7" t="s">
        <v>178</v>
      </c>
      <c r="G66" s="7" t="s">
        <v>181</v>
      </c>
      <c r="H66" s="7">
        <v>4486</v>
      </c>
      <c r="I66" s="7" t="s">
        <v>182</v>
      </c>
      <c r="J66" s="7">
        <v>90</v>
      </c>
      <c r="K66" s="7">
        <v>-8.8772279391063798</v>
      </c>
      <c r="L66" s="7">
        <v>0.44554680781280698</v>
      </c>
      <c r="M66" s="7">
        <v>1.60138915082915</v>
      </c>
      <c r="N66" s="7">
        <v>-0.68963564967709301</v>
      </c>
      <c r="O66" s="7">
        <v>0.66079000423805401</v>
      </c>
      <c r="P66" s="7">
        <v>-1.46650742438869</v>
      </c>
      <c r="Q66" s="7">
        <v>-26.272049662667001</v>
      </c>
      <c r="R66" s="7">
        <v>-0.315563690900314</v>
      </c>
      <c r="S66" s="7">
        <v>-9.3459263880755705E-2</v>
      </c>
      <c r="T66" s="7">
        <v>-26.620238248867199</v>
      </c>
      <c r="U66" s="7">
        <v>-0.31644247923829499</v>
      </c>
      <c r="V66" s="7">
        <v>-9.3348501260237901E-2</v>
      </c>
      <c r="W66" s="7">
        <v>-17.756603854040101</v>
      </c>
      <c r="X66" s="7">
        <v>-9.1560106236928593</v>
      </c>
      <c r="Y66" s="7">
        <v>-7.5515283367034103</v>
      </c>
      <c r="Z66" s="7">
        <v>0.60658637072063004</v>
      </c>
      <c r="AA66" s="7">
        <v>0.61099800729599196</v>
      </c>
      <c r="AB66" s="7">
        <v>0.61421259795165595</v>
      </c>
      <c r="AC66" s="7">
        <v>0.26411537480924302</v>
      </c>
      <c r="AD66" s="7">
        <v>0.27128938091605198</v>
      </c>
      <c r="AE66" s="7">
        <v>0.28383131124335098</v>
      </c>
      <c r="AF66" s="7">
        <v>5.0514763156473697</v>
      </c>
      <c r="AG66" s="7">
        <v>2.51314448168268</v>
      </c>
      <c r="AH66" s="7">
        <v>-4.2396544055067604</v>
      </c>
      <c r="AI66" s="7">
        <v>22.937989295325501</v>
      </c>
      <c r="AJ66" s="7">
        <v>21.4542442764123</v>
      </c>
      <c r="AK66" s="7">
        <v>20.387036330942902</v>
      </c>
      <c r="AL66" s="7"/>
      <c r="AM66" s="17"/>
    </row>
    <row r="67" spans="1:40">
      <c r="A67" s="7">
        <v>4487</v>
      </c>
      <c r="B67" s="7" t="s">
        <v>0</v>
      </c>
      <c r="C67" s="7" t="s">
        <v>174</v>
      </c>
      <c r="D67" s="7" t="s">
        <v>2</v>
      </c>
      <c r="E67" s="7" t="s">
        <v>3</v>
      </c>
      <c r="F67" s="7" t="s">
        <v>178</v>
      </c>
      <c r="G67" s="7" t="s">
        <v>183</v>
      </c>
      <c r="H67" s="7">
        <v>4487</v>
      </c>
      <c r="I67" s="7" t="s">
        <v>184</v>
      </c>
      <c r="J67" s="7">
        <v>90</v>
      </c>
      <c r="K67" s="7">
        <v>-8.8623926927560408</v>
      </c>
      <c r="L67" s="7">
        <v>0.462557968505239</v>
      </c>
      <c r="M67" s="7">
        <v>1.6158842506017199</v>
      </c>
      <c r="N67" s="7">
        <v>-0.67262967889677705</v>
      </c>
      <c r="O67" s="7">
        <v>0.68584137551228597</v>
      </c>
      <c r="P67" s="7">
        <v>-1.4442353711361</v>
      </c>
      <c r="Q67" s="7">
        <v>-19.538441570278302</v>
      </c>
      <c r="R67" s="7">
        <v>-0.31940597604142601</v>
      </c>
      <c r="S67" s="7">
        <v>-0.100188805892098</v>
      </c>
      <c r="T67" s="7">
        <v>-19.930889043613799</v>
      </c>
      <c r="U67" s="7">
        <v>-0.32031802440186702</v>
      </c>
      <c r="V67" s="7">
        <v>-0.10006821775564501</v>
      </c>
      <c r="W67" s="7">
        <v>-13.3389009614048</v>
      </c>
      <c r="X67" s="7">
        <v>-9.1411753773425204</v>
      </c>
      <c r="Y67" s="7">
        <v>-7.53465433768074</v>
      </c>
      <c r="Z67" s="7">
        <v>0.60238792209966197</v>
      </c>
      <c r="AA67" s="7">
        <v>0.60679077992077701</v>
      </c>
      <c r="AB67" s="7">
        <v>0.61002866946244605</v>
      </c>
      <c r="AC67" s="7">
        <v>0.25626040930257599</v>
      </c>
      <c r="AD67" s="7">
        <v>0.26340306594332802</v>
      </c>
      <c r="AE67" s="7">
        <v>0.27549538345101898</v>
      </c>
      <c r="AF67" s="7">
        <v>1.4286417811394501</v>
      </c>
      <c r="AG67" s="7">
        <v>0.88459355398473605</v>
      </c>
      <c r="AH67" s="7">
        <v>3.56131136780232</v>
      </c>
      <c r="AI67" s="7">
        <v>24.3710564921018</v>
      </c>
      <c r="AJ67" s="7">
        <v>22.868745371050899</v>
      </c>
      <c r="AK67" s="7">
        <v>21.7783446990729</v>
      </c>
      <c r="AL67" s="7">
        <f>AVERAGE(AK66:AK67)</f>
        <v>21.082690515007901</v>
      </c>
      <c r="AM67" s="17">
        <f>STDEV(AK66:AK67)/SQRT(COUNT(AK66:AK67))</f>
        <v>0.6956541840649989</v>
      </c>
    </row>
    <row r="68" spans="1:40">
      <c r="A68" s="3">
        <v>4489</v>
      </c>
      <c r="B68" s="3" t="s">
        <v>0</v>
      </c>
      <c r="C68" s="3" t="s">
        <v>174</v>
      </c>
      <c r="D68" s="3" t="s">
        <v>2</v>
      </c>
      <c r="E68" s="3" t="s">
        <v>3</v>
      </c>
      <c r="F68" s="3" t="s">
        <v>185</v>
      </c>
      <c r="G68" s="3" t="s">
        <v>186</v>
      </c>
      <c r="H68" s="3">
        <v>4489</v>
      </c>
      <c r="I68" s="3" t="s">
        <v>187</v>
      </c>
      <c r="J68" s="3">
        <v>90</v>
      </c>
      <c r="K68" s="3">
        <v>-14.2696713018428</v>
      </c>
      <c r="L68" s="3">
        <v>0.27580681389377198</v>
      </c>
      <c r="M68" s="3">
        <v>-3.4928121874101801</v>
      </c>
      <c r="N68" s="3">
        <v>-0.87032731658988705</v>
      </c>
      <c r="O68" s="3">
        <v>-4.7953326450762699</v>
      </c>
      <c r="P68" s="3">
        <v>-1.88237300184284</v>
      </c>
      <c r="Q68" s="3">
        <v>-24.860167793232801</v>
      </c>
      <c r="R68" s="3">
        <v>-0.34459277230900798</v>
      </c>
      <c r="S68" s="3">
        <v>-0.13075171717090101</v>
      </c>
      <c r="T68" s="3">
        <v>-19.5477957499523</v>
      </c>
      <c r="U68" s="3">
        <v>-0.33821660580642299</v>
      </c>
      <c r="V68" s="3">
        <v>-0.13056454867838499</v>
      </c>
      <c r="W68" s="3">
        <v>-11.160001305725901</v>
      </c>
      <c r="X68" s="3">
        <v>-14.548453986429299</v>
      </c>
      <c r="Y68" s="3">
        <v>-7.7198997102534399</v>
      </c>
      <c r="Z68" s="3">
        <v>0.58290793086669701</v>
      </c>
      <c r="AA68" s="3">
        <v>0.58733030180700296</v>
      </c>
      <c r="AB68" s="3">
        <v>0.59069934180748196</v>
      </c>
      <c r="AC68" s="3">
        <v>0.22063947492348601</v>
      </c>
      <c r="AD68" s="3">
        <v>0.227557649801753</v>
      </c>
      <c r="AE68" s="3">
        <v>0.23730178071989499</v>
      </c>
      <c r="AF68" s="3">
        <v>-0.339527828177285</v>
      </c>
      <c r="AG68" s="3">
        <v>8.52695308131413E-2</v>
      </c>
      <c r="AH68" s="3">
        <v>7.6829389441124398</v>
      </c>
      <c r="AI68" s="3">
        <v>31.303547354613599</v>
      </c>
      <c r="AJ68" s="3">
        <v>29.687253336576699</v>
      </c>
      <c r="AK68" s="3">
        <v>28.473061565495801</v>
      </c>
      <c r="AL68" s="3"/>
      <c r="AM68" s="16"/>
    </row>
    <row r="69" spans="1:40">
      <c r="A69" s="3">
        <v>4490</v>
      </c>
      <c r="B69" s="3" t="s">
        <v>0</v>
      </c>
      <c r="C69" s="3" t="s">
        <v>174</v>
      </c>
      <c r="D69" s="3" t="s">
        <v>2</v>
      </c>
      <c r="E69" s="3" t="s">
        <v>3</v>
      </c>
      <c r="F69" s="3" t="s">
        <v>185</v>
      </c>
      <c r="G69" s="3" t="s">
        <v>188</v>
      </c>
      <c r="H69" s="3">
        <v>4490</v>
      </c>
      <c r="I69" s="3" t="s">
        <v>189</v>
      </c>
      <c r="J69" s="3">
        <v>90</v>
      </c>
      <c r="K69" s="3">
        <v>-14.277023598281</v>
      </c>
      <c r="L69" s="3">
        <v>0.28736671647415601</v>
      </c>
      <c r="M69" s="3">
        <v>-3.4995099895237201</v>
      </c>
      <c r="N69" s="3">
        <v>-0.85879132581601103</v>
      </c>
      <c r="O69" s="3">
        <v>-4.8033788166792801</v>
      </c>
      <c r="P69" s="3">
        <v>-1.8465862502055099</v>
      </c>
      <c r="Q69" s="3">
        <v>-27.298990875792999</v>
      </c>
      <c r="R69" s="3">
        <v>-0.34883396768235803</v>
      </c>
      <c r="S69" s="3">
        <v>-0.13115998153689301</v>
      </c>
      <c r="T69" s="3">
        <v>-22.018961993040399</v>
      </c>
      <c r="U69" s="3">
        <v>-0.34244749426100701</v>
      </c>
      <c r="V69" s="3">
        <v>-0.13096165778032401</v>
      </c>
      <c r="W69" s="3">
        <v>-12.8081284995139</v>
      </c>
      <c r="X69" s="3">
        <v>-14.555806282867501</v>
      </c>
      <c r="Y69" s="3">
        <v>-7.70843301563057</v>
      </c>
      <c r="Z69" s="3">
        <v>0.57832557391603601</v>
      </c>
      <c r="AA69" s="3">
        <v>0.58273943044825505</v>
      </c>
      <c r="AB69" s="3">
        <v>0.58613182868967595</v>
      </c>
      <c r="AC69" s="3">
        <v>0.22016099289801899</v>
      </c>
      <c r="AD69" s="3">
        <v>0.227103152124108</v>
      </c>
      <c r="AE69" s="3">
        <v>0.236876229515118</v>
      </c>
      <c r="AF69" s="3">
        <v>1.00552565615519</v>
      </c>
      <c r="AG69" s="3">
        <v>0.69099992589452497</v>
      </c>
      <c r="AH69" s="3">
        <v>4.7120853533061302</v>
      </c>
      <c r="AI69" s="3">
        <v>33.005917537191799</v>
      </c>
      <c r="AJ69" s="3">
        <v>31.365644006246601</v>
      </c>
      <c r="AK69" s="3">
        <v>30.122728510149798</v>
      </c>
      <c r="AL69" s="3"/>
      <c r="AM69" s="16"/>
    </row>
    <row r="70" spans="1:40">
      <c r="A70" s="3">
        <v>4492</v>
      </c>
      <c r="B70" s="3" t="s">
        <v>0</v>
      </c>
      <c r="C70" s="3" t="s">
        <v>174</v>
      </c>
      <c r="D70" s="3" t="s">
        <v>2</v>
      </c>
      <c r="E70" s="3" t="s">
        <v>3</v>
      </c>
      <c r="F70" s="3" t="s">
        <v>185</v>
      </c>
      <c r="G70" s="3" t="s">
        <v>190</v>
      </c>
      <c r="H70" s="3">
        <v>4492</v>
      </c>
      <c r="I70" s="3" t="s">
        <v>191</v>
      </c>
      <c r="J70" s="3">
        <v>90</v>
      </c>
      <c r="K70" s="3">
        <v>-14.2727241112323</v>
      </c>
      <c r="L70" s="3">
        <v>0.27496386532190398</v>
      </c>
      <c r="M70" s="3">
        <v>-3.49584765328588</v>
      </c>
      <c r="N70" s="3">
        <v>-0.87115956907616399</v>
      </c>
      <c r="O70" s="3">
        <v>-4.79458794202968</v>
      </c>
      <c r="P70" s="3">
        <v>-1.8245290299181101</v>
      </c>
      <c r="Q70" s="3">
        <v>-27.579976600908498</v>
      </c>
      <c r="R70" s="3">
        <v>-0.33678296711243699</v>
      </c>
      <c r="S70" s="3">
        <v>-7.7624723898039899E-2</v>
      </c>
      <c r="T70" s="3">
        <v>-22.2800029112917</v>
      </c>
      <c r="U70" s="3">
        <v>-0.33040896394540897</v>
      </c>
      <c r="V70" s="3">
        <v>-7.7399693356835803E-2</v>
      </c>
      <c r="W70" s="3">
        <v>-12.97399407112</v>
      </c>
      <c r="X70" s="3">
        <v>-14.551506795818799</v>
      </c>
      <c r="Y70" s="3">
        <v>-7.7207358620972704</v>
      </c>
      <c r="Z70" s="3">
        <v>0.59155261945502902</v>
      </c>
      <c r="AA70" s="3">
        <v>0.59587424325529603</v>
      </c>
      <c r="AB70" s="3">
        <v>0.59914162523065495</v>
      </c>
      <c r="AC70" s="3">
        <v>0.28265752206265898</v>
      </c>
      <c r="AD70" s="3">
        <v>0.29016527417819399</v>
      </c>
      <c r="AE70" s="3">
        <v>0.30464564482496198</v>
      </c>
      <c r="AF70" s="3">
        <v>1.1468037760927601</v>
      </c>
      <c r="AG70" s="3">
        <v>0.75288967311194299</v>
      </c>
      <c r="AH70" s="3">
        <v>4.5376183010017996</v>
      </c>
      <c r="AI70" s="3">
        <v>28.1678537450363</v>
      </c>
      <c r="AJ70" s="3">
        <v>26.6361617252754</v>
      </c>
      <c r="AK70" s="3">
        <v>25.493500942246399</v>
      </c>
      <c r="AL70" s="3">
        <f>AVERAGE(AK68:AK70)</f>
        <v>28.029763672630665</v>
      </c>
      <c r="AM70" s="16">
        <f>STDEV(AK68:AK70)/SQRT(COUNT(AK68:AK70))</f>
        <v>1.3545997853269194</v>
      </c>
    </row>
    <row r="71" spans="1:40">
      <c r="A71" s="7">
        <v>4493</v>
      </c>
      <c r="B71" s="7" t="s">
        <v>0</v>
      </c>
      <c r="C71" s="7" t="s">
        <v>174</v>
      </c>
      <c r="D71" s="7" t="s">
        <v>2</v>
      </c>
      <c r="E71" s="7" t="s">
        <v>3</v>
      </c>
      <c r="F71" s="7" t="s">
        <v>192</v>
      </c>
      <c r="G71" s="7" t="s">
        <v>193</v>
      </c>
      <c r="H71" s="7">
        <v>4493</v>
      </c>
      <c r="I71" s="7" t="s">
        <v>194</v>
      </c>
      <c r="J71" s="7">
        <v>90</v>
      </c>
      <c r="K71" s="7">
        <v>-9.0002500795754798</v>
      </c>
      <c r="L71" s="7">
        <v>-0.32817791923245299</v>
      </c>
      <c r="M71" s="7">
        <v>1.4583163262311101</v>
      </c>
      <c r="N71" s="7">
        <v>-1.4619777481537299</v>
      </c>
      <c r="O71" s="7">
        <v>-0.24321434238718201</v>
      </c>
      <c r="P71" s="7">
        <v>-3.0043655561534099</v>
      </c>
      <c r="Q71" s="7">
        <v>-21.7766252643918</v>
      </c>
      <c r="R71" s="7">
        <v>-0.31529285057077</v>
      </c>
      <c r="S71" s="7">
        <v>-9.5242307702639306E-2</v>
      </c>
      <c r="T71" s="7">
        <v>-20.4967746937422</v>
      </c>
      <c r="U71" s="7">
        <v>-0.31496953730594002</v>
      </c>
      <c r="V71" s="7">
        <v>-9.4847821748544794E-2</v>
      </c>
      <c r="W71" s="7">
        <v>-13.1487812607013</v>
      </c>
      <c r="X71" s="7">
        <v>-9.2790327641619594</v>
      </c>
      <c r="Y71" s="7">
        <v>-8.3190144902872394</v>
      </c>
      <c r="Z71" s="7">
        <v>0.60845043556187794</v>
      </c>
      <c r="AA71" s="7">
        <v>0.61269262384098999</v>
      </c>
      <c r="AB71" s="7">
        <v>0.61582204955279196</v>
      </c>
      <c r="AC71" s="7">
        <v>0.262276383255933</v>
      </c>
      <c r="AD71" s="7">
        <v>0.26964808598889201</v>
      </c>
      <c r="AE71" s="7">
        <v>0.28273040499567198</v>
      </c>
      <c r="AF71" s="7">
        <v>1.2908004569940801</v>
      </c>
      <c r="AG71" s="7">
        <v>0.81722954034664097</v>
      </c>
      <c r="AH71" s="7">
        <v>4.2636015880848301</v>
      </c>
      <c r="AI71" s="7">
        <v>22.308327218296601</v>
      </c>
      <c r="AJ71" s="7">
        <v>20.890202797565902</v>
      </c>
      <c r="AK71" s="7">
        <v>19.857055150156999</v>
      </c>
      <c r="AL71" s="7"/>
      <c r="AM71" s="17"/>
    </row>
    <row r="72" spans="1:40" s="7" customFormat="1">
      <c r="A72" s="7">
        <v>4495</v>
      </c>
      <c r="B72" s="7" t="s">
        <v>0</v>
      </c>
      <c r="C72" s="7" t="s">
        <v>174</v>
      </c>
      <c r="D72" s="7" t="s">
        <v>2</v>
      </c>
      <c r="E72" s="7" t="s">
        <v>3</v>
      </c>
      <c r="F72" s="7" t="s">
        <v>192</v>
      </c>
      <c r="G72" s="7" t="s">
        <v>197</v>
      </c>
      <c r="H72" s="7">
        <v>4495</v>
      </c>
      <c r="I72" s="7" t="s">
        <v>198</v>
      </c>
      <c r="J72" s="7">
        <v>90</v>
      </c>
      <c r="K72" s="7">
        <v>-8.9868968423949305</v>
      </c>
      <c r="L72" s="7">
        <v>-0.32950938543392599</v>
      </c>
      <c r="M72" s="7">
        <v>1.47093454844695</v>
      </c>
      <c r="N72" s="7">
        <v>-1.46327134903032</v>
      </c>
      <c r="O72" s="7">
        <v>-0.209990965038648</v>
      </c>
      <c r="P72" s="7">
        <v>-3.01180151722764</v>
      </c>
      <c r="Q72" s="7">
        <v>-23.322416694513201</v>
      </c>
      <c r="R72" s="7">
        <v>-0.29560423534338898</v>
      </c>
      <c r="S72" s="7">
        <v>-9.9132112313467302E-2</v>
      </c>
      <c r="T72" s="7">
        <v>-22.058904135479398</v>
      </c>
      <c r="U72" s="7">
        <v>-0.29532512132044197</v>
      </c>
      <c r="V72" s="7">
        <v>-9.8688653850820499E-2</v>
      </c>
      <c r="W72" s="7">
        <v>-14.1890087303859</v>
      </c>
      <c r="X72" s="7">
        <v>-9.2656795269814101</v>
      </c>
      <c r="Y72" s="7">
        <v>-8.3203352208233596</v>
      </c>
      <c r="Z72" s="7">
        <v>0.62996928501193505</v>
      </c>
      <c r="AA72" s="7">
        <v>0.63409525270302403</v>
      </c>
      <c r="AB72" s="7">
        <v>0.63704688577096102</v>
      </c>
      <c r="AC72" s="7">
        <v>0.25776648622697601</v>
      </c>
      <c r="AD72" s="7">
        <v>0.26516110311310198</v>
      </c>
      <c r="AE72" s="7">
        <v>0.27809480740801001</v>
      </c>
      <c r="AF72" s="7">
        <v>2.1293527890406798</v>
      </c>
      <c r="AG72" s="7">
        <v>1.1966060775234999</v>
      </c>
      <c r="AH72" s="7">
        <v>2.2636617206845702</v>
      </c>
      <c r="AI72" s="7">
        <v>15.3187381009598</v>
      </c>
      <c r="AJ72" s="7">
        <v>14.034382357888701</v>
      </c>
      <c r="AK72" s="7">
        <v>13.1260353885116</v>
      </c>
      <c r="AM72" s="17"/>
    </row>
    <row r="73" spans="1:40">
      <c r="A73" s="7">
        <v>4496</v>
      </c>
      <c r="B73" s="7" t="s">
        <v>0</v>
      </c>
      <c r="C73" s="7" t="s">
        <v>174</v>
      </c>
      <c r="D73" s="7" t="s">
        <v>2</v>
      </c>
      <c r="E73" s="7" t="s">
        <v>3</v>
      </c>
      <c r="F73" s="7" t="s">
        <v>192</v>
      </c>
      <c r="G73" s="7" t="s">
        <v>199</v>
      </c>
      <c r="H73" s="7">
        <v>4496</v>
      </c>
      <c r="I73" s="7" t="s">
        <v>200</v>
      </c>
      <c r="J73" s="7">
        <v>90</v>
      </c>
      <c r="K73" s="7">
        <v>-8.9895376115225396</v>
      </c>
      <c r="L73" s="7">
        <v>-0.34512754398486101</v>
      </c>
      <c r="M73" s="7">
        <v>1.46814255903076</v>
      </c>
      <c r="N73" s="7">
        <v>-1.4788663247276099</v>
      </c>
      <c r="O73" s="7">
        <v>-0.23387521318590801</v>
      </c>
      <c r="P73" s="7">
        <v>-3.01915531247182</v>
      </c>
      <c r="Q73" s="7">
        <v>-19.3296044926518</v>
      </c>
      <c r="R73" s="7">
        <v>-0.30819384148035001</v>
      </c>
      <c r="S73" s="7">
        <v>-8.1943420384833501E-2</v>
      </c>
      <c r="T73" s="7">
        <v>-18.041487303171301</v>
      </c>
      <c r="U73" s="7">
        <v>-0.30788300026829002</v>
      </c>
      <c r="V73" s="7">
        <v>-8.1474822484637499E-2</v>
      </c>
      <c r="W73" s="7">
        <v>-11.5187935016165</v>
      </c>
      <c r="X73" s="7">
        <v>-9.2683202961090192</v>
      </c>
      <c r="Y73" s="7">
        <v>-8.3358274495364899</v>
      </c>
      <c r="Z73" s="7">
        <v>0.61629493186116902</v>
      </c>
      <c r="AA73" s="7">
        <v>0.620442135116267</v>
      </c>
      <c r="AB73" s="7">
        <v>0.62348460659314497</v>
      </c>
      <c r="AC73" s="7">
        <v>0.27785260361867098</v>
      </c>
      <c r="AD73" s="7">
        <v>0.285445796407721</v>
      </c>
      <c r="AE73" s="7">
        <v>0.30000708321275199</v>
      </c>
      <c r="AF73" s="7">
        <v>-1.90574184369474E-3</v>
      </c>
      <c r="AG73" s="7">
        <v>0.22652763546893701</v>
      </c>
      <c r="AH73" s="7">
        <v>7.8947453145917503</v>
      </c>
      <c r="AI73" s="7">
        <v>19.7018831245489</v>
      </c>
      <c r="AJ73" s="7">
        <v>18.351495022968599</v>
      </c>
      <c r="AK73" s="7">
        <v>17.372617774877</v>
      </c>
      <c r="AL73" s="7">
        <f>AVERAGE(AK71:AK73)</f>
        <v>16.785236104515199</v>
      </c>
      <c r="AM73" s="17">
        <f>STDEV(AK71:AK73)/SQRT(COUNT(AK71:AK73))</f>
        <v>1.9651479738960262</v>
      </c>
    </row>
    <row r="74" spans="1:40">
      <c r="A74">
        <v>4521</v>
      </c>
      <c r="B74" t="s">
        <v>0</v>
      </c>
      <c r="C74" t="s">
        <v>1</v>
      </c>
      <c r="D74" t="s">
        <v>2</v>
      </c>
      <c r="E74" t="s">
        <v>3</v>
      </c>
      <c r="F74" t="s">
        <v>235</v>
      </c>
      <c r="G74" t="s">
        <v>236</v>
      </c>
      <c r="H74">
        <v>4521</v>
      </c>
      <c r="I74" t="s">
        <v>237</v>
      </c>
      <c r="J74">
        <v>90</v>
      </c>
      <c r="K74">
        <v>-8.3648204844572405</v>
      </c>
      <c r="L74">
        <v>-0.13756664277497499</v>
      </c>
      <c r="M74">
        <v>2.0644537652474</v>
      </c>
      <c r="N74">
        <v>-1.2704381464898999</v>
      </c>
      <c r="O74">
        <v>0.56604671502444903</v>
      </c>
      <c r="P74">
        <v>-2.59851624068917</v>
      </c>
      <c r="Q74">
        <v>-25.833208310937799</v>
      </c>
      <c r="R74">
        <v>-0.31533181319279302</v>
      </c>
      <c r="S74">
        <v>-6.4051350123764395E-2</v>
      </c>
      <c r="T74">
        <v>-25.5477298598198</v>
      </c>
      <c r="U74">
        <v>-0.31602962949167901</v>
      </c>
      <c r="V74">
        <v>-6.3274693148852895E-2</v>
      </c>
      <c r="W74">
        <v>-16.691998305700199</v>
      </c>
      <c r="X74">
        <v>-8.6417543899041007</v>
      </c>
      <c r="Y74">
        <v>-8.1304377371673606</v>
      </c>
      <c r="Z74">
        <v>0.60494693821615697</v>
      </c>
      <c r="AA74">
        <v>0.60991524420770304</v>
      </c>
      <c r="AB74">
        <v>0.61312533491105803</v>
      </c>
      <c r="AC74">
        <v>0.29483733067678802</v>
      </c>
      <c r="AD74">
        <v>0.30725597696655699</v>
      </c>
      <c r="AE74">
        <v>0.33099536005318297</v>
      </c>
      <c r="AF74">
        <v>4.7622500758525002</v>
      </c>
      <c r="AG74">
        <v>1.9807220127677201</v>
      </c>
      <c r="AH74">
        <v>-2.1640787537484001</v>
      </c>
      <c r="AI74">
        <v>23.495112904591899</v>
      </c>
      <c r="AJ74">
        <v>21.816338649253598</v>
      </c>
      <c r="AK74">
        <v>20.746696371023599</v>
      </c>
    </row>
    <row r="112" spans="14:14">
      <c r="N112" s="6"/>
    </row>
    <row r="125" spans="1:3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0"/>
    </row>
    <row r="141" spans="1:3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0"/>
    </row>
    <row r="171" spans="1:39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0"/>
    </row>
    <row r="215" spans="1:39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0"/>
    </row>
    <row r="216" spans="1:39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0"/>
    </row>
    <row r="217" spans="1:39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0"/>
    </row>
    <row r="248" spans="1:39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16"/>
    </row>
    <row r="249" spans="1:3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16"/>
    </row>
    <row r="319" spans="1:3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16"/>
    </row>
    <row r="320" spans="1:39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0"/>
    </row>
  </sheetData>
  <sortState xmlns:xlrd2="http://schemas.microsoft.com/office/spreadsheetml/2017/richdata2" ref="A2:AK18">
    <sortCondition ref="F2:F18"/>
  </sortState>
  <pageMargins left="0.7" right="0.7" top="0.75" bottom="0.75" header="0.3" footer="0.3"/>
  <ignoredErrors>
    <ignoredError sqref="AL3" formulaRange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geo-isopaleo</dc:creator>
  <cp:lastModifiedBy>geo-isopaleo</cp:lastModifiedBy>
  <dcterms:created xsi:type="dcterms:W3CDTF">2026-03-03T14:40:44Z</dcterms:created>
  <dcterms:modified xsi:type="dcterms:W3CDTF">2026-05-07T15:16:22Z</dcterms:modified>
</cp:coreProperties>
</file>
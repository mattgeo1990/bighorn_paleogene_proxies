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llen/Documents/GitHub/bighorn_paleogene_proxies/outputs/petrography_scoring/"/>
    </mc:Choice>
  </mc:AlternateContent>
  <xr:revisionPtr revIDLastSave="0" documentId="13_ncr:1_{2B028712-DA55-9144-9815-0EF71E0EDB87}" xr6:coauthVersionLast="47" xr6:coauthVersionMax="47" xr10:uidLastSave="{00000000-0000-0000-0000-000000000000}"/>
  <bookViews>
    <workbookView xWindow="0" yWindow="0" windowWidth="38400" windowHeight="21600" activeTab="1" xr2:uid="{00000000-000D-0000-FFFF-FFFF00000000}"/>
  </bookViews>
  <sheets>
    <sheet name="Read me" sheetId="1" r:id="rId1"/>
    <sheet name="Petrography scoring" sheetId="2" r:id="rId2"/>
    <sheet name="EMPA scoring" sheetId="3" r:id="rId3"/>
    <sheet name="Synthesis" sheetId="4" r:id="rId4"/>
    <sheet name="Isotope context" sheetId="5" r:id="rId5"/>
  </sheets>
  <calcPr calcId="0"/>
</workbook>
</file>

<file path=xl/sharedStrings.xml><?xml version="1.0" encoding="utf-8"?>
<sst xmlns="http://schemas.openxmlformats.org/spreadsheetml/2006/main" count="268" uniqueCount="139">
  <si>
    <t>Bighorn Basin carbonate preservation scoring</t>
  </si>
  <si>
    <t>Purpose</t>
  </si>
  <si>
    <t>Record sample-level petrographic and EMPA evidence for partial late alteration of bulk matrix powders. Petrography and EMPA AOIs are scored independently because they are not spatially identical. Broad late-phase fraction bins constrain sensitivity models; they are not exact modal abundances.</t>
  </si>
  <si>
    <t>Petrographic class</t>
  </si>
  <si>
    <t>Definition</t>
  </si>
  <si>
    <t>Preserved</t>
  </si>
  <si>
    <t>Micritic host retained; secondary carbonate absent or localized and avoidable.</t>
  </si>
  <si>
    <t>Mixed</t>
  </si>
  <si>
    <t>Host micrite remains, but distributed secondary carbonate or recrystallization could enter bulk powder.</t>
  </si>
  <si>
    <t>Altered</t>
  </si>
  <si>
    <t>Pervasive recrystallization/spar, or sampled matrix dominated by secondary carbonate.</t>
  </si>
  <si>
    <t>Indeterminate</t>
  </si>
  <si>
    <t>Coverage or relationships are insufficient.</t>
  </si>
  <si>
    <t>Late fraction bins</t>
  </si>
  <si>
    <t>&lt;10%; 10–30%; 30–60%; &gt;60%; indeterminate.</t>
  </si>
  <si>
    <t>Workflow: score petrography without consulting isotope values → score EMPA independently → combine evidence in Synthesis → consult Isotope context only after preservation classes are locked.</t>
  </si>
  <si>
    <t>Sample ID</t>
  </si>
  <si>
    <t>Folder</t>
  </si>
  <si>
    <t>PPL fields</t>
  </si>
  <si>
    <t>XPL fields</t>
  </si>
  <si>
    <t>Marked image</t>
  </si>
  <si>
    <t>Dominant host fabric</t>
  </si>
  <si>
    <t>Late/recrystallized matrix fraction</t>
  </si>
  <si>
    <t>Secondary distribution</t>
  </si>
  <si>
    <t>Fractures/veins</t>
  </si>
  <si>
    <t>Host micrite preserved</t>
  </si>
  <si>
    <t>Bulk matrix likely representative</t>
  </si>
  <si>
    <t>Confidence</t>
  </si>
  <si>
    <t>Microscope review complete</t>
  </si>
  <si>
    <t>Notes</t>
  </si>
  <si>
    <t>PK95-SC-118up</t>
  </si>
  <si>
    <t>/Users/allen/Library/CloudStorage/OneDrive-Personal/MLA Work/NSF_EARPF/Images/Thin Sections/PK95-SC-118up</t>
  </si>
  <si>
    <t>Yes</t>
  </si>
  <si>
    <t>No</t>
  </si>
  <si>
    <t>PK95-SC-133</t>
  </si>
  <si>
    <t>/Users/allen/Library/CloudStorage/OneDrive-Personal/MLA Work/NSF_EARPF/Images/Thin Sections/PK95-SC-133</t>
  </si>
  <si>
    <t>PK95-SC-160</t>
  </si>
  <si>
    <t>/Users/allen/Library/CloudStorage/OneDrive-Personal/MLA Work/NSF_EARPF/Images/Thin Sections/PK95-SC-160</t>
  </si>
  <si>
    <t>PK95-SC-176</t>
  </si>
  <si>
    <t>/Users/allen/Library/CloudStorage/OneDrive-Personal/MLA Work/NSF_EARPF/Images/Thin Sections/PK95-SC-176</t>
  </si>
  <si>
    <t>PK95-SC-179</t>
  </si>
  <si>
    <t>/Users/allen/Library/CloudStorage/OneDrive-Personal/MLA Work/NSF_EARPF/Images/Thin Sections/PK95-SC-179</t>
  </si>
  <si>
    <t>PK95-SC-185</t>
  </si>
  <si>
    <t>/Users/allen/Library/CloudStorage/OneDrive-Personal/MLA Work/NSF_EARPF/Images/Thin Sections/PK95-SC-185</t>
  </si>
  <si>
    <t>PK95-SC-22</t>
  </si>
  <si>
    <t>/Users/allen/Library/CloudStorage/OneDrive-Personal/MLA Work/NSF_EARPF/Images/Thin Sections/PK95-SC-22</t>
  </si>
  <si>
    <t>PK95-SC-23</t>
  </si>
  <si>
    <t>/Users/allen/Library/CloudStorage/OneDrive-Personal/MLA Work/NSF_EARPF/Images/Thin Sections/PK95-SC-23</t>
  </si>
  <si>
    <t>PK95-SC-242</t>
  </si>
  <si>
    <t>/Users/allen/Library/CloudStorage/OneDrive-Personal/MLA Work/NSF_EARPF/Images/Thin Sections/PK95-SC-242</t>
  </si>
  <si>
    <t>PK95-SC-246</t>
  </si>
  <si>
    <t>/Users/allen/Library/CloudStorage/OneDrive-Personal/MLA Work/NSF_EARPF/Images/Thin Sections/PK95-SC-246</t>
  </si>
  <si>
    <t>PK95-SC-27</t>
  </si>
  <si>
    <t>/Users/allen/Library/CloudStorage/OneDrive-Personal/MLA Work/NSF_EARPF/Images/Thin Sections/PK95-SC-27</t>
  </si>
  <si>
    <t>PK95-SC-279</t>
  </si>
  <si>
    <t>/Users/allen/Library/CloudStorage/OneDrive-Personal/MLA Work/NSF_EARPF/Images/Thin Sections/PK95-SC-279</t>
  </si>
  <si>
    <t>PK95-SC-31</t>
  </si>
  <si>
    <t>/Users/allen/Library/CloudStorage/OneDrive-Personal/MLA Work/NSF_EARPF/Images/Thin Sections/PK95-SC-31</t>
  </si>
  <si>
    <t>PK95-SC-4</t>
  </si>
  <si>
    <t>/Users/allen/Library/CloudStorage/OneDrive-Personal/MLA Work/NSF_EARPF/Images/Thin Sections/PK95-SC-4</t>
  </si>
  <si>
    <t>PK95-SC-43</t>
  </si>
  <si>
    <t>/Users/allen/Library/CloudStorage/OneDrive-Personal/MLA Work/NSF_EARPF/Images/Thin Sections/PK95-SC-43</t>
  </si>
  <si>
    <t>PK95-SC-50</t>
  </si>
  <si>
    <t>/Users/allen/Library/CloudStorage/OneDrive-Personal/MLA Work/NSF_EARPF/Images/Thin Sections/PK95-SC-50</t>
  </si>
  <si>
    <t>PK95-SC-54</t>
  </si>
  <si>
    <t>/Users/allen/Library/CloudStorage/OneDrive-Personal/MLA Work/NSF_EARPF/Images/Thin Sections/PK95-SC-54</t>
  </si>
  <si>
    <t>PK95-SC-80.1</t>
  </si>
  <si>
    <t>/Users/allen/Library/CloudStorage/OneDrive-Personal/MLA Work/NSF_EARPF/Images/Thin Sections/PK95-SC-80.1</t>
  </si>
  <si>
    <t>EMPA AOI</t>
  </si>
  <si>
    <t>BSE/CL homogeneity</t>
  </si>
  <si>
    <t>CL zoning pattern</t>
  </si>
  <si>
    <t>Elemental domains</t>
  </si>
  <si>
    <t>Fracture/domain correspondence</t>
  </si>
  <si>
    <t>EMPA alteration class</t>
  </si>
  <si>
    <t>PK95-SC-118up_AOI1</t>
  </si>
  <si>
    <t>PK95-SC-133_AOI1</t>
  </si>
  <si>
    <t>PK95-SC-176_AOI1</t>
  </si>
  <si>
    <t>PK95-SC-176_AOI2</t>
  </si>
  <si>
    <t>PK95-SC-246_AOI1</t>
  </si>
  <si>
    <t>PK95-SC-246_AOI2</t>
  </si>
  <si>
    <t>PK95-SC-27_AOI1</t>
  </si>
  <si>
    <t>PK95-SC-279_AOI1</t>
  </si>
  <si>
    <t>PK95-SC-4-2_AOI1</t>
  </si>
  <si>
    <t>PK95-SC-43_AOI1</t>
  </si>
  <si>
    <t>PK95-SC-43_AOI2</t>
  </si>
  <si>
    <t>PK95-SC-50_AOI1</t>
  </si>
  <si>
    <t>Petro late-fraction bin</t>
  </si>
  <si>
    <t>EMPA summary</t>
  </si>
  <si>
    <t>Combined preservation class</t>
  </si>
  <si>
    <t>Plausible late fraction min</t>
  </si>
  <si>
    <t>Plausible late fraction max</t>
  </si>
  <si>
    <t>Primary-record decision</t>
  </si>
  <si>
    <t>Decision basis</t>
  </si>
  <si>
    <t>Locked before isotope review?</t>
  </si>
  <si>
    <t>Strat height (m)</t>
  </si>
  <si>
    <t>Age (Ma)</t>
  </si>
  <si>
    <t>U-M T47 (°C)</t>
  </si>
  <si>
    <t>U-M T47 SE</t>
  </si>
  <si>
    <t>Carbonate δ18O (VSMOW)</t>
  </si>
  <si>
    <t>Carbonate Δ′17O (per meg)</t>
  </si>
  <si>
    <t>Δ′17O primary use</t>
  </si>
  <si>
    <t>Current T screen exclusion</t>
  </si>
  <si>
    <t>Current alteration index</t>
  </si>
  <si>
    <t>Image coverage</t>
  </si>
  <si>
    <t>EMPA AOIs</t>
  </si>
  <si>
    <t>primary</t>
  </si>
  <si>
    <t>FALSE</t>
  </si>
  <si>
    <t>PPL 1; XPL 8; marked yes</t>
  </si>
  <si>
    <t>PPL 0; XPL 5; marked yes</t>
  </si>
  <si>
    <t>sensitivity_only</t>
  </si>
  <si>
    <t>PPL 3; XPL 7; marked yes</t>
  </si>
  <si>
    <t>PPL 3; XPL 22; marked yes</t>
  </si>
  <si>
    <t>PPL 1; XPL 6; marked yes</t>
  </si>
  <si>
    <t>PPL 5; XPL 0; marked yes</t>
  </si>
  <si>
    <t>PPL 3; XPL 26; marked no</t>
  </si>
  <si>
    <t>PPL 1; XPL 8; marked no</t>
  </si>
  <si>
    <t>TRUE</t>
  </si>
  <si>
    <t>PPL 1; XPL 9; marked no</t>
  </si>
  <si>
    <t>PPL 2; XPL 12; marked yes</t>
  </si>
  <si>
    <t>PPL 0; XPL 8; marked yes</t>
  </si>
  <si>
    <t>PPL 1; XPL 10; marked yes</t>
  </si>
  <si>
    <t>PPL 2; XPL 16; marked yes</t>
  </si>
  <si>
    <t>PPL 1; XPL 15; marked yes</t>
  </si>
  <si>
    <t>PPL 1; XPL 9; marked yes</t>
  </si>
  <si>
    <t>PPL 0; XPL 0; marked no</t>
  </si>
  <si>
    <t>PPL 0; XPL 2; marked yes</t>
  </si>
  <si>
    <t>silicate/silt</t>
  </si>
  <si>
    <t>pervasive</t>
  </si>
  <si>
    <t>no</t>
  </si>
  <si>
    <t>high</t>
  </si>
  <si>
    <t>This looks like a siltstone with carbonate cement.</t>
  </si>
  <si>
    <t>microspar</t>
  </si>
  <si>
    <t>&gt;60%</t>
  </si>
  <si>
    <t>yes</t>
  </si>
  <si>
    <t>uncertain</t>
  </si>
  <si>
    <t>moderate</t>
  </si>
  <si>
    <t xml:space="preserve">Most of the microspar is small, and micrite-microspar transitions are gradational and heterogeneous across the fabric. It is hard to estimate the amount of micrite vs microspar. </t>
  </si>
  <si>
    <t>indeterminate</t>
  </si>
  <si>
    <t xml:space="preserve">Matrix dominated by intergrown radial-fibrous microsparitic calcite domains, provisionally spherulitic or Microcodium-like fabric.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</si>
</sst>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name val="Carlito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8"/>
      <color rgb="FFFFFFFF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83B56"/>
      </patternFill>
    </fill>
    <fill>
      <patternFill patternType="solid">
        <fgColor rgb="FF2A7F86"/>
      </patternFill>
    </fill>
    <fill>
      <patternFill patternType="solid">
        <fgColor rgb="FFFFF2CC"/>
      </patternFill>
    </fill>
    <fill>
      <patternFill patternType="solid">
        <fgColor rgb="FFD9A441"/>
      </patternFill>
    </fill>
    <fill>
      <patternFill patternType="solid">
        <fgColor rgb="FF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5" fillId="0" borderId="0" xfId="0" applyFont="1"/>
    <xf numFmtId="0" fontId="5" fillId="0" borderId="0" xfId="0" applyFont="1" applyAlignment="1">
      <alignment vertical="top"/>
    </xf>
    <xf numFmtId="0" fontId="6" fillId="2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6" fillId="5" borderId="0" xfId="0" applyFont="1" applyFill="1" applyAlignment="1">
      <alignment wrapText="1"/>
    </xf>
    <xf numFmtId="9" fontId="5" fillId="0" borderId="0" xfId="0" applyNumberFormat="1" applyFont="1"/>
    <xf numFmtId="0" fontId="6" fillId="6" borderId="0" xfId="0" applyFont="1" applyFill="1" applyAlignment="1">
      <alignment wrapText="1"/>
    </xf>
    <xf numFmtId="2" fontId="5" fillId="0" borderId="0" xfId="0" applyNumberFormat="1" applyFont="1"/>
    <xf numFmtId="164" fontId="5" fillId="0" borderId="0" xfId="0" applyNumberFormat="1" applyFont="1"/>
    <xf numFmtId="0" fontId="4" fillId="2" borderId="0" xfId="0" applyFont="1" applyFill="1" applyAlignment="1">
      <alignment vertical="center"/>
    </xf>
    <xf numFmtId="0" fontId="1" fillId="3" borderId="0" xfId="0" applyFont="1" applyFill="1"/>
    <xf numFmtId="0" fontId="2" fillId="0" borderId="0" xfId="0" applyFont="1" applyAlignment="1">
      <alignment wrapText="1"/>
    </xf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3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trographyScores" displayName="PetrographyScores" ref="A1:O19" totalsRowShown="0">
  <tableColumns count="15">
    <tableColumn id="1" xr3:uid="{00000000-0010-0000-0000-000001000000}" name="Sample ID"/>
    <tableColumn id="2" xr3:uid="{00000000-0010-0000-0000-000002000000}" name="Folder"/>
    <tableColumn id="3" xr3:uid="{00000000-0010-0000-0000-000003000000}" name="PPL fields"/>
    <tableColumn id="4" xr3:uid="{00000000-0010-0000-0000-000004000000}" name="XPL fields"/>
    <tableColumn id="5" xr3:uid="{00000000-0010-0000-0000-000005000000}" name="Marked image"/>
    <tableColumn id="6" xr3:uid="{00000000-0010-0000-0000-000006000000}" name="Dominant host fabric"/>
    <tableColumn id="7" xr3:uid="{00000000-0010-0000-0000-000007000000}" name="Late/recrystallized matrix fraction"/>
    <tableColumn id="8" xr3:uid="{00000000-0010-0000-0000-000008000000}" name="Secondary distribution"/>
    <tableColumn id="9" xr3:uid="{00000000-0010-0000-0000-000009000000}" name="Fractures/veins"/>
    <tableColumn id="10" xr3:uid="{00000000-0010-0000-0000-00000A000000}" name="Host micrite preserved"/>
    <tableColumn id="11" xr3:uid="{00000000-0010-0000-0000-00000B000000}" name="Bulk matrix likely representative"/>
    <tableColumn id="12" xr3:uid="{00000000-0010-0000-0000-00000C000000}" name="Petrographic class"/>
    <tableColumn id="13" xr3:uid="{00000000-0010-0000-0000-00000D000000}" name="Confidence"/>
    <tableColumn id="14" xr3:uid="{00000000-0010-0000-0000-00000E000000}" name="Microscope review complete"/>
    <tableColumn id="15" xr3:uid="{00000000-0010-0000-0000-00000F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MPAScores" displayName="EMPAScores" ref="A1:I13" totalsRowShown="0">
  <tableColumns count="9">
    <tableColumn id="1" xr3:uid="{00000000-0010-0000-0100-000001000000}" name="Sample ID"/>
    <tableColumn id="2" xr3:uid="{00000000-0010-0000-0100-000002000000}" name="EMPA AOI"/>
    <tableColumn id="3" xr3:uid="{00000000-0010-0000-0100-000003000000}" name="BSE/CL homogeneity"/>
    <tableColumn id="4" xr3:uid="{00000000-0010-0000-0100-000004000000}" name="CL zoning pattern"/>
    <tableColumn id="5" xr3:uid="{00000000-0010-0000-0100-000005000000}" name="Elemental domains"/>
    <tableColumn id="6" xr3:uid="{00000000-0010-0000-0100-000006000000}" name="Fracture/domain correspondence"/>
    <tableColumn id="7" xr3:uid="{00000000-0010-0000-0100-000007000000}" name="EMPA alteration class"/>
    <tableColumn id="8" xr3:uid="{00000000-0010-0000-0100-000008000000}" name="Confidence"/>
    <tableColumn id="9" xr3:uid="{00000000-0010-0000-0100-000009000000}" name="Note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eservationSynthesis" displayName="PreservationSynthesis" ref="A1:J19" totalsRowShown="0">
  <tableColumns count="10">
    <tableColumn id="1" xr3:uid="{00000000-0010-0000-0200-000001000000}" name="Sample ID"/>
    <tableColumn id="2" xr3:uid="{00000000-0010-0000-0200-000002000000}" name="Petrographic class"/>
    <tableColumn id="3" xr3:uid="{00000000-0010-0000-0200-000003000000}" name="Petro late-fraction bin"/>
    <tableColumn id="4" xr3:uid="{00000000-0010-0000-0200-000004000000}" name="EMPA summary"/>
    <tableColumn id="5" xr3:uid="{00000000-0010-0000-0200-000005000000}" name="Combined preservation class"/>
    <tableColumn id="6" xr3:uid="{00000000-0010-0000-0200-000006000000}" name="Plausible late fraction min"/>
    <tableColumn id="7" xr3:uid="{00000000-0010-0000-0200-000007000000}" name="Plausible late fraction max"/>
    <tableColumn id="8" xr3:uid="{00000000-0010-0000-0200-000008000000}" name="Primary-record decision"/>
    <tableColumn id="9" xr3:uid="{00000000-0010-0000-0200-000009000000}" name="Decision basis"/>
    <tableColumn id="10" xr3:uid="{00000000-0010-0000-0200-00000A000000}" name="Locked before isotope review?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sotopeContext" displayName="IsotopeContext" ref="A1:L19" totalsRowShown="0">
  <tableColumns count="12">
    <tableColumn id="1" xr3:uid="{00000000-0010-0000-0300-000001000000}" name="Sample ID"/>
    <tableColumn id="2" xr3:uid="{00000000-0010-0000-0300-000002000000}" name="Strat height (m)"/>
    <tableColumn id="3" xr3:uid="{00000000-0010-0000-0300-000003000000}" name="Age (Ma)"/>
    <tableColumn id="4" xr3:uid="{00000000-0010-0000-0300-000004000000}" name="U-M T47 (°C)"/>
    <tableColumn id="5" xr3:uid="{00000000-0010-0000-0300-000005000000}" name="U-M T47 SE"/>
    <tableColumn id="6" xr3:uid="{00000000-0010-0000-0300-000006000000}" name="Carbonate δ18O (VSMOW)"/>
    <tableColumn id="7" xr3:uid="{00000000-0010-0000-0300-000007000000}" name="Carbonate Δ′17O (per meg)"/>
    <tableColumn id="8" xr3:uid="{00000000-0010-0000-0300-000008000000}" name="Δ′17O primary use"/>
    <tableColumn id="9" xr3:uid="{00000000-0010-0000-0300-000009000000}" name="Current T screen exclusion"/>
    <tableColumn id="10" xr3:uid="{00000000-0010-0000-0300-00000A000000}" name="Current alteration index"/>
    <tableColumn id="11" xr3:uid="{00000000-0010-0000-0300-00000B000000}" name="Image coverage"/>
    <tableColumn id="12" xr3:uid="{00000000-0010-0000-0300-00000C000000}" name="EMPA AOI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zoomScale="125" workbookViewId="0">
      <selection sqref="A1:H1"/>
    </sheetView>
  </sheetViews>
  <sheetFormatPr baseColWidth="10" defaultColWidth="8.83203125" defaultRowHeight="14"/>
  <cols>
    <col min="1" max="1" width="22" customWidth="1"/>
    <col min="2" max="2" width="82" customWidth="1"/>
  </cols>
  <sheetData>
    <row r="1" spans="1:8" ht="32" customHeight="1">
      <c r="A1" s="13" t="s">
        <v>0</v>
      </c>
      <c r="B1" s="13"/>
      <c r="C1" s="13"/>
      <c r="D1" s="13"/>
      <c r="E1" s="13"/>
      <c r="F1" s="13"/>
      <c r="G1" s="13"/>
      <c r="H1" s="13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14" t="s">
        <v>1</v>
      </c>
      <c r="B3" s="14"/>
      <c r="C3" s="14"/>
      <c r="D3" s="14"/>
      <c r="E3" s="14"/>
      <c r="F3" s="14"/>
      <c r="G3" s="14"/>
      <c r="H3" s="14"/>
    </row>
    <row r="4" spans="1:8">
      <c r="A4" s="15" t="s">
        <v>2</v>
      </c>
      <c r="B4" s="15"/>
      <c r="C4" s="15"/>
      <c r="D4" s="15"/>
      <c r="E4" s="15"/>
      <c r="F4" s="15"/>
      <c r="G4" s="15"/>
      <c r="H4" s="15"/>
    </row>
    <row r="5" spans="1:8">
      <c r="A5" s="15"/>
      <c r="B5" s="15"/>
      <c r="C5" s="15"/>
      <c r="D5" s="15"/>
      <c r="E5" s="15"/>
      <c r="F5" s="15"/>
      <c r="G5" s="15"/>
      <c r="H5" s="15"/>
    </row>
    <row r="6" spans="1:8">
      <c r="A6" s="1"/>
      <c r="B6" s="1"/>
      <c r="C6" s="1"/>
      <c r="D6" s="1"/>
      <c r="E6" s="1"/>
      <c r="F6" s="1"/>
      <c r="G6" s="1"/>
      <c r="H6" s="1"/>
    </row>
    <row r="7" spans="1:8">
      <c r="A7" s="3" t="s">
        <v>3</v>
      </c>
      <c r="B7" s="3" t="s">
        <v>4</v>
      </c>
      <c r="C7" s="1"/>
      <c r="D7" s="1"/>
      <c r="E7" s="1"/>
      <c r="F7" s="1"/>
      <c r="G7" s="1"/>
      <c r="H7" s="1"/>
    </row>
    <row r="8" spans="1:8">
      <c r="A8" s="2" t="s">
        <v>5</v>
      </c>
      <c r="B8" s="2" t="s">
        <v>6</v>
      </c>
      <c r="C8" s="1"/>
      <c r="D8" s="1"/>
      <c r="E8" s="1"/>
      <c r="F8" s="1"/>
      <c r="G8" s="1"/>
      <c r="H8" s="1"/>
    </row>
    <row r="9" spans="1:8">
      <c r="A9" s="2" t="s">
        <v>7</v>
      </c>
      <c r="B9" s="2" t="s">
        <v>8</v>
      </c>
      <c r="C9" s="1"/>
      <c r="D9" s="1"/>
      <c r="E9" s="1"/>
      <c r="F9" s="1"/>
      <c r="G9" s="1"/>
      <c r="H9" s="1"/>
    </row>
    <row r="10" spans="1:8">
      <c r="A10" s="2" t="s">
        <v>9</v>
      </c>
      <c r="B10" s="2" t="s">
        <v>10</v>
      </c>
      <c r="C10" s="1"/>
      <c r="D10" s="1"/>
      <c r="E10" s="1"/>
      <c r="F10" s="1"/>
      <c r="G10" s="1"/>
      <c r="H10" s="1"/>
    </row>
    <row r="11" spans="1:8">
      <c r="A11" s="2" t="s">
        <v>11</v>
      </c>
      <c r="B11" s="2" t="s">
        <v>12</v>
      </c>
      <c r="C11" s="1"/>
      <c r="D11" s="1"/>
      <c r="E11" s="1"/>
      <c r="F11" s="1"/>
      <c r="G11" s="1"/>
      <c r="H11" s="1"/>
    </row>
    <row r="12" spans="1:8">
      <c r="A12" s="2" t="s">
        <v>13</v>
      </c>
      <c r="B12" s="2" t="s">
        <v>14</v>
      </c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 ht="38" customHeight="1">
      <c r="A14" s="16" t="s">
        <v>15</v>
      </c>
      <c r="B14" s="16"/>
      <c r="C14" s="16"/>
      <c r="D14" s="16"/>
      <c r="E14" s="16"/>
      <c r="F14" s="16"/>
      <c r="G14" s="16"/>
      <c r="H14" s="16"/>
    </row>
  </sheetData>
  <mergeCells count="4">
    <mergeCell ref="A1:H1"/>
    <mergeCell ref="A3:H3"/>
    <mergeCell ref="A4:H5"/>
    <mergeCell ref="A14:H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"/>
  <sheetViews>
    <sheetView showGridLines="0" tabSelected="1" topLeftCell="O1" zoomScale="178" workbookViewId="0">
      <selection activeCell="I7" sqref="I7"/>
    </sheetView>
  </sheetViews>
  <sheetFormatPr baseColWidth="10" defaultColWidth="8.83203125" defaultRowHeight="14"/>
  <cols>
    <col min="1" max="1" width="18" customWidth="1"/>
    <col min="2" max="2" width="42" customWidth="1"/>
    <col min="3" max="4" width="9.1640625" customWidth="1"/>
    <col min="5" max="5" width="11.6640625" customWidth="1"/>
    <col min="6" max="14" width="18" customWidth="1"/>
    <col min="15" max="15" width="42" customWidth="1"/>
  </cols>
  <sheetData>
    <row r="1" spans="1:15" ht="26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3</v>
      </c>
      <c r="M1" s="6" t="s">
        <v>27</v>
      </c>
      <c r="N1" s="6" t="s">
        <v>28</v>
      </c>
      <c r="O1" s="6" t="s">
        <v>29</v>
      </c>
    </row>
    <row r="2" spans="1:15" ht="15" customHeight="1">
      <c r="A2" s="5" t="s">
        <v>30</v>
      </c>
      <c r="B2" s="5" t="s">
        <v>31</v>
      </c>
      <c r="C2" s="5">
        <v>1</v>
      </c>
      <c r="D2" s="5">
        <v>8</v>
      </c>
      <c r="E2" s="5" t="s">
        <v>32</v>
      </c>
      <c r="F2" s="5"/>
      <c r="G2" s="5"/>
      <c r="H2" s="5"/>
      <c r="I2" s="5"/>
      <c r="J2" s="5"/>
      <c r="K2" s="5"/>
      <c r="L2" s="5"/>
      <c r="M2" s="5"/>
      <c r="N2" s="5" t="s">
        <v>33</v>
      </c>
      <c r="O2" s="5"/>
    </row>
    <row r="3" spans="1:15" ht="15" customHeight="1">
      <c r="A3" s="5" t="s">
        <v>34</v>
      </c>
      <c r="B3" s="5" t="s">
        <v>35</v>
      </c>
      <c r="C3" s="5">
        <v>0</v>
      </c>
      <c r="D3" s="5">
        <v>5</v>
      </c>
      <c r="E3" s="5" t="s">
        <v>32</v>
      </c>
      <c r="F3" s="5"/>
      <c r="G3" s="5"/>
      <c r="H3" s="5"/>
      <c r="I3" s="5"/>
      <c r="J3" s="5"/>
      <c r="K3" s="5"/>
      <c r="L3" s="5"/>
      <c r="M3" s="5"/>
      <c r="N3" s="5" t="s">
        <v>33</v>
      </c>
      <c r="O3" s="5"/>
    </row>
    <row r="4" spans="1:15" ht="15" customHeight="1">
      <c r="A4" s="5" t="s">
        <v>36</v>
      </c>
      <c r="B4" s="5" t="s">
        <v>37</v>
      </c>
      <c r="C4" s="5">
        <v>3</v>
      </c>
      <c r="D4" s="5">
        <v>7</v>
      </c>
      <c r="E4" s="5" t="s">
        <v>32</v>
      </c>
      <c r="F4" s="5"/>
      <c r="G4" s="5"/>
      <c r="H4" s="5"/>
      <c r="I4" s="5"/>
      <c r="J4" s="5"/>
      <c r="K4" s="5"/>
      <c r="L4" s="5"/>
      <c r="M4" s="5"/>
      <c r="N4" s="5" t="s">
        <v>33</v>
      </c>
      <c r="O4" s="5"/>
    </row>
    <row r="5" spans="1:15" ht="15" customHeight="1">
      <c r="A5" s="5" t="s">
        <v>38</v>
      </c>
      <c r="B5" s="5" t="s">
        <v>39</v>
      </c>
      <c r="C5" s="5">
        <v>3</v>
      </c>
      <c r="D5" s="5">
        <v>22</v>
      </c>
      <c r="E5" s="5" t="s">
        <v>32</v>
      </c>
      <c r="F5" s="5" t="s">
        <v>131</v>
      </c>
      <c r="G5" s="5" t="s">
        <v>132</v>
      </c>
      <c r="H5" s="5" t="s">
        <v>127</v>
      </c>
      <c r="I5" s="5" t="s">
        <v>133</v>
      </c>
      <c r="J5" s="5" t="s">
        <v>133</v>
      </c>
      <c r="K5" s="5" t="s">
        <v>134</v>
      </c>
      <c r="L5" s="5" t="s">
        <v>9</v>
      </c>
      <c r="M5" s="5" t="s">
        <v>135</v>
      </c>
      <c r="N5" s="5" t="s">
        <v>32</v>
      </c>
      <c r="O5" s="5" t="s">
        <v>136</v>
      </c>
    </row>
    <row r="6" spans="1:15" ht="15" customHeight="1">
      <c r="A6" s="5" t="s">
        <v>40</v>
      </c>
      <c r="B6" s="5" t="s">
        <v>41</v>
      </c>
      <c r="C6" s="5">
        <v>1</v>
      </c>
      <c r="D6" s="5">
        <v>6</v>
      </c>
      <c r="E6" s="5" t="s">
        <v>32</v>
      </c>
      <c r="F6" s="5"/>
      <c r="G6" s="5"/>
      <c r="H6" s="5"/>
      <c r="I6" s="5"/>
      <c r="J6" s="5"/>
      <c r="K6" s="5"/>
      <c r="L6" s="5"/>
      <c r="M6" s="5"/>
      <c r="N6" s="5" t="s">
        <v>33</v>
      </c>
      <c r="O6" s="5"/>
    </row>
    <row r="7" spans="1:15" ht="15" customHeight="1">
      <c r="A7" s="5" t="s">
        <v>42</v>
      </c>
      <c r="B7" s="5" t="s">
        <v>43</v>
      </c>
      <c r="C7" s="5">
        <v>5</v>
      </c>
      <c r="D7" s="5">
        <v>0</v>
      </c>
      <c r="E7" s="5" t="s">
        <v>32</v>
      </c>
      <c r="F7" s="5" t="s">
        <v>131</v>
      </c>
      <c r="G7" s="5" t="s">
        <v>137</v>
      </c>
      <c r="H7" s="5" t="s">
        <v>127</v>
      </c>
      <c r="I7" s="5"/>
      <c r="J7" s="5"/>
      <c r="K7" s="5"/>
      <c r="L7" s="5"/>
      <c r="M7" s="5"/>
      <c r="N7" s="5" t="s">
        <v>33</v>
      </c>
      <c r="O7" s="5" t="s">
        <v>138</v>
      </c>
    </row>
    <row r="8" spans="1:15" ht="15" customHeight="1">
      <c r="A8" s="5" t="s">
        <v>44</v>
      </c>
      <c r="B8" s="5" t="s">
        <v>45</v>
      </c>
      <c r="C8" s="5">
        <v>3</v>
      </c>
      <c r="D8" s="5">
        <v>26</v>
      </c>
      <c r="E8" s="5" t="s">
        <v>33</v>
      </c>
      <c r="F8" s="5"/>
      <c r="G8" s="5"/>
      <c r="H8" s="5"/>
      <c r="I8" s="5"/>
      <c r="J8" s="5"/>
      <c r="K8" s="5"/>
      <c r="L8" s="5"/>
      <c r="M8" s="5"/>
      <c r="N8" s="5" t="s">
        <v>33</v>
      </c>
      <c r="O8" s="5"/>
    </row>
    <row r="9" spans="1:15" ht="15" customHeight="1">
      <c r="A9" s="5" t="s">
        <v>46</v>
      </c>
      <c r="B9" s="5" t="s">
        <v>47</v>
      </c>
      <c r="C9" s="5">
        <v>1</v>
      </c>
      <c r="D9" s="5">
        <v>8</v>
      </c>
      <c r="E9" s="5" t="s">
        <v>33</v>
      </c>
      <c r="F9" s="5"/>
      <c r="G9" s="5"/>
      <c r="H9" s="5"/>
      <c r="I9" s="5"/>
      <c r="J9" s="5"/>
      <c r="K9" s="5"/>
      <c r="L9" s="5"/>
      <c r="M9" s="5"/>
      <c r="N9" s="5" t="s">
        <v>33</v>
      </c>
      <c r="O9" s="5"/>
    </row>
    <row r="10" spans="1:15" ht="15" customHeight="1">
      <c r="A10" s="5" t="s">
        <v>48</v>
      </c>
      <c r="B10" s="5" t="s">
        <v>49</v>
      </c>
      <c r="C10" s="5">
        <v>1</v>
      </c>
      <c r="D10" s="5">
        <v>9</v>
      </c>
      <c r="E10" s="5" t="s">
        <v>33</v>
      </c>
      <c r="F10" s="5" t="s">
        <v>126</v>
      </c>
      <c r="G10" s="5" t="s">
        <v>132</v>
      </c>
      <c r="H10" s="5" t="s">
        <v>127</v>
      </c>
      <c r="I10" s="5" t="s">
        <v>128</v>
      </c>
      <c r="J10" s="5" t="s">
        <v>128</v>
      </c>
      <c r="K10" s="5" t="s">
        <v>128</v>
      </c>
      <c r="L10" s="5" t="s">
        <v>9</v>
      </c>
      <c r="M10" s="5" t="s">
        <v>129</v>
      </c>
      <c r="N10" s="5" t="s">
        <v>32</v>
      </c>
      <c r="O10" s="5" t="s">
        <v>130</v>
      </c>
    </row>
    <row r="11" spans="1:15" ht="15" customHeight="1">
      <c r="A11" s="5" t="s">
        <v>50</v>
      </c>
      <c r="B11" s="5" t="s">
        <v>51</v>
      </c>
      <c r="C11" s="5">
        <v>2</v>
      </c>
      <c r="D11" s="5">
        <v>12</v>
      </c>
      <c r="E11" s="5" t="s">
        <v>32</v>
      </c>
      <c r="F11" s="5"/>
      <c r="G11" s="5"/>
      <c r="H11" s="5"/>
      <c r="I11" s="5"/>
      <c r="J11" s="5"/>
      <c r="K11" s="5"/>
      <c r="L11" s="5"/>
      <c r="M11" s="5"/>
      <c r="N11" s="5" t="s">
        <v>33</v>
      </c>
      <c r="O11" s="5"/>
    </row>
    <row r="12" spans="1:15" ht="15" customHeight="1">
      <c r="A12" s="5" t="s">
        <v>52</v>
      </c>
      <c r="B12" s="5" t="s">
        <v>53</v>
      </c>
      <c r="C12" s="5">
        <v>0</v>
      </c>
      <c r="D12" s="5">
        <v>8</v>
      </c>
      <c r="E12" s="5" t="s">
        <v>32</v>
      </c>
      <c r="F12" s="5"/>
      <c r="G12" s="5"/>
      <c r="H12" s="5"/>
      <c r="I12" s="5"/>
      <c r="J12" s="5"/>
      <c r="K12" s="5"/>
      <c r="L12" s="5"/>
      <c r="M12" s="5"/>
      <c r="N12" s="5" t="s">
        <v>33</v>
      </c>
      <c r="O12" s="5"/>
    </row>
    <row r="13" spans="1:15" ht="15" customHeight="1">
      <c r="A13" s="5" t="s">
        <v>54</v>
      </c>
      <c r="B13" s="5" t="s">
        <v>55</v>
      </c>
      <c r="C13" s="5">
        <v>1</v>
      </c>
      <c r="D13" s="5">
        <v>10</v>
      </c>
      <c r="E13" s="5" t="s">
        <v>32</v>
      </c>
      <c r="F13" s="5"/>
      <c r="G13" s="5"/>
      <c r="H13" s="5"/>
      <c r="I13" s="5"/>
      <c r="J13" s="5"/>
      <c r="K13" s="5"/>
      <c r="L13" s="5"/>
      <c r="M13" s="5"/>
      <c r="N13" s="5" t="s">
        <v>33</v>
      </c>
      <c r="O13" s="5"/>
    </row>
    <row r="14" spans="1:15" ht="15" customHeight="1">
      <c r="A14" s="5" t="s">
        <v>56</v>
      </c>
      <c r="B14" s="5" t="s">
        <v>57</v>
      </c>
      <c r="C14" s="5">
        <v>0</v>
      </c>
      <c r="D14" s="5">
        <v>8</v>
      </c>
      <c r="E14" s="5" t="s">
        <v>32</v>
      </c>
      <c r="F14" s="5"/>
      <c r="G14" s="5"/>
      <c r="H14" s="5"/>
      <c r="I14" s="5"/>
      <c r="J14" s="5"/>
      <c r="K14" s="5"/>
      <c r="L14" s="5"/>
      <c r="M14" s="5"/>
      <c r="N14" s="5" t="s">
        <v>33</v>
      </c>
      <c r="O14" s="5"/>
    </row>
    <row r="15" spans="1:15" ht="15" customHeight="1">
      <c r="A15" s="5" t="s">
        <v>58</v>
      </c>
      <c r="B15" s="5" t="s">
        <v>59</v>
      </c>
      <c r="C15" s="5">
        <v>2</v>
      </c>
      <c r="D15" s="5">
        <v>16</v>
      </c>
      <c r="E15" s="5" t="s">
        <v>32</v>
      </c>
      <c r="F15" s="5"/>
      <c r="G15" s="5"/>
      <c r="H15" s="5"/>
      <c r="I15" s="5"/>
      <c r="J15" s="5"/>
      <c r="K15" s="5"/>
      <c r="L15" s="5"/>
      <c r="M15" s="5"/>
      <c r="N15" s="5" t="s">
        <v>33</v>
      </c>
      <c r="O15" s="5"/>
    </row>
    <row r="16" spans="1:15" ht="15" customHeight="1">
      <c r="A16" s="5" t="s">
        <v>60</v>
      </c>
      <c r="B16" s="5" t="s">
        <v>61</v>
      </c>
      <c r="C16" s="5">
        <v>1</v>
      </c>
      <c r="D16" s="5">
        <v>15</v>
      </c>
      <c r="E16" s="5" t="s">
        <v>32</v>
      </c>
      <c r="F16" s="5"/>
      <c r="G16" s="5"/>
      <c r="H16" s="5"/>
      <c r="I16" s="5"/>
      <c r="J16" s="5"/>
      <c r="K16" s="5"/>
      <c r="L16" s="5"/>
      <c r="M16" s="5"/>
      <c r="N16" s="5" t="s">
        <v>33</v>
      </c>
      <c r="O16" s="5"/>
    </row>
    <row r="17" spans="1:15" ht="15" customHeight="1">
      <c r="A17" s="5" t="s">
        <v>62</v>
      </c>
      <c r="B17" s="5" t="s">
        <v>63</v>
      </c>
      <c r="C17" s="5">
        <v>1</v>
      </c>
      <c r="D17" s="5">
        <v>9</v>
      </c>
      <c r="E17" s="5" t="s">
        <v>32</v>
      </c>
      <c r="F17" s="5"/>
      <c r="G17" s="5"/>
      <c r="H17" s="5"/>
      <c r="I17" s="5"/>
      <c r="J17" s="5"/>
      <c r="K17" s="5"/>
      <c r="L17" s="5"/>
      <c r="M17" s="5"/>
      <c r="N17" s="5" t="s">
        <v>33</v>
      </c>
      <c r="O17" s="5"/>
    </row>
    <row r="18" spans="1:15" ht="15" customHeight="1">
      <c r="A18" s="5" t="s">
        <v>64</v>
      </c>
      <c r="B18" s="5" t="s">
        <v>65</v>
      </c>
      <c r="C18" s="5">
        <v>0</v>
      </c>
      <c r="D18" s="5">
        <v>0</v>
      </c>
      <c r="E18" s="5" t="s">
        <v>33</v>
      </c>
      <c r="F18" s="5"/>
      <c r="G18" s="5"/>
      <c r="H18" s="5"/>
      <c r="I18" s="5"/>
      <c r="J18" s="5"/>
      <c r="K18" s="5"/>
      <c r="L18" s="5"/>
      <c r="M18" s="5"/>
      <c r="N18" s="5" t="s">
        <v>33</v>
      </c>
      <c r="O18" s="5"/>
    </row>
    <row r="19" spans="1:15" ht="15" customHeight="1">
      <c r="A19" s="5" t="s">
        <v>66</v>
      </c>
      <c r="B19" s="5" t="s">
        <v>67</v>
      </c>
      <c r="C19" s="5">
        <v>0</v>
      </c>
      <c r="D19" s="5">
        <v>2</v>
      </c>
      <c r="E19" s="5" t="s">
        <v>32</v>
      </c>
      <c r="F19" s="5"/>
      <c r="G19" s="5"/>
      <c r="H19" s="5"/>
      <c r="I19" s="5"/>
      <c r="J19" s="5"/>
      <c r="K19" s="5"/>
      <c r="L19" s="5"/>
      <c r="M19" s="5"/>
      <c r="N19" s="5" t="s">
        <v>33</v>
      </c>
      <c r="O19" s="5"/>
    </row>
  </sheetData>
  <conditionalFormatting sqref="L2:L19">
    <cfRule type="containsText" dxfId="2" priority="1" operator="containsText" text="Preserved"/>
    <cfRule type="containsText" dxfId="1" priority="2" operator="containsText" text="Mixed"/>
    <cfRule type="containsText" dxfId="0" priority="3" operator="containsText" text="Altered"/>
  </conditionalFormatting>
  <dataValidations count="7">
    <dataValidation type="list" sqref="F2:F19" xr:uid="{00000000-0002-0000-0100-000000000000}">
      <formula1>"micrite,microspar,spar,indeterminate"</formula1>
    </dataValidation>
    <dataValidation type="list" sqref="G2:G19" xr:uid="{00000000-0002-0000-0100-000001000000}">
      <formula1>"&lt;10%,10–30%,30–60%,&gt;60%,indeterminate"</formula1>
    </dataValidation>
    <dataValidation type="list" sqref="H2:H19" xr:uid="{00000000-0002-0000-0100-000002000000}">
      <formula1>"absent,localized,distributed,pervasive,indeterminate"</formula1>
    </dataValidation>
    <dataValidation type="list" sqref="I2:K19" xr:uid="{00000000-0002-0000-0100-000003000000}">
      <formula1>"yes,no,uncertain"</formula1>
    </dataValidation>
    <dataValidation type="list" sqref="L2:L19" xr:uid="{00000000-0002-0000-0100-000004000000}">
      <formula1>"Preserved,Mixed,Altered,Indeterminate"</formula1>
    </dataValidation>
    <dataValidation type="list" sqref="M2:M19" xr:uid="{00000000-0002-0000-0100-000005000000}">
      <formula1>"high,moderate,low"</formula1>
    </dataValidation>
    <dataValidation type="list" sqref="N2:N19" xr:uid="{00000000-0002-0000-0100-000006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showGridLines="0" zoomScale="268" workbookViewId="0"/>
  </sheetViews>
  <sheetFormatPr baseColWidth="10" defaultColWidth="8.83203125" defaultRowHeight="14"/>
  <cols>
    <col min="1" max="2" width="20" customWidth="1"/>
    <col min="3" max="8" width="22" customWidth="1"/>
    <col min="9" max="9" width="42" customWidth="1"/>
  </cols>
  <sheetData>
    <row r="1" spans="1:9" ht="15" customHeight="1">
      <c r="A1" s="7" t="s">
        <v>16</v>
      </c>
      <c r="B1" s="7" t="s">
        <v>68</v>
      </c>
      <c r="C1" s="7" t="s">
        <v>69</v>
      </c>
      <c r="D1" s="7" t="s">
        <v>70</v>
      </c>
      <c r="E1" s="7" t="s">
        <v>71</v>
      </c>
      <c r="F1" s="7" t="s">
        <v>72</v>
      </c>
      <c r="G1" s="7" t="s">
        <v>73</v>
      </c>
      <c r="H1" s="7" t="s">
        <v>27</v>
      </c>
      <c r="I1" s="7" t="s">
        <v>29</v>
      </c>
    </row>
    <row r="2" spans="1:9" ht="15" customHeight="1">
      <c r="A2" s="4" t="s">
        <v>30</v>
      </c>
      <c r="B2" s="4" t="s">
        <v>74</v>
      </c>
      <c r="C2" s="4"/>
      <c r="D2" s="4"/>
      <c r="E2" s="4"/>
      <c r="F2" s="4"/>
      <c r="G2" s="4"/>
      <c r="H2" s="4"/>
      <c r="I2" s="4"/>
    </row>
    <row r="3" spans="1:9" ht="15" customHeight="1">
      <c r="A3" s="4" t="s">
        <v>34</v>
      </c>
      <c r="B3" s="4" t="s">
        <v>75</v>
      </c>
      <c r="C3" s="4"/>
      <c r="D3" s="4"/>
      <c r="E3" s="4"/>
      <c r="F3" s="4"/>
      <c r="G3" s="4"/>
      <c r="H3" s="4"/>
      <c r="I3" s="4"/>
    </row>
    <row r="4" spans="1:9" ht="15" customHeight="1">
      <c r="A4" s="4" t="s">
        <v>38</v>
      </c>
      <c r="B4" s="4" t="s">
        <v>76</v>
      </c>
      <c r="C4" s="4"/>
      <c r="D4" s="4"/>
      <c r="E4" s="4"/>
      <c r="F4" s="4"/>
      <c r="G4" s="4"/>
      <c r="H4" s="4"/>
      <c r="I4" s="4"/>
    </row>
    <row r="5" spans="1:9" ht="15" customHeight="1">
      <c r="A5" s="4" t="s">
        <v>38</v>
      </c>
      <c r="B5" s="4" t="s">
        <v>77</v>
      </c>
      <c r="C5" s="4"/>
      <c r="D5" s="4"/>
      <c r="E5" s="4"/>
      <c r="F5" s="4"/>
      <c r="G5" s="4"/>
      <c r="H5" s="4"/>
      <c r="I5" s="4"/>
    </row>
    <row r="6" spans="1:9" ht="15" customHeight="1">
      <c r="A6" s="4" t="s">
        <v>50</v>
      </c>
      <c r="B6" s="4" t="s">
        <v>78</v>
      </c>
      <c r="C6" s="4"/>
      <c r="D6" s="4"/>
      <c r="E6" s="4"/>
      <c r="F6" s="4"/>
      <c r="G6" s="4"/>
      <c r="H6" s="4"/>
      <c r="I6" s="4"/>
    </row>
    <row r="7" spans="1:9" ht="15" customHeight="1">
      <c r="A7" s="4" t="s">
        <v>50</v>
      </c>
      <c r="B7" s="4" t="s">
        <v>79</v>
      </c>
      <c r="C7" s="4"/>
      <c r="D7" s="4"/>
      <c r="E7" s="4"/>
      <c r="F7" s="4"/>
      <c r="G7" s="4"/>
      <c r="H7" s="4"/>
      <c r="I7" s="4"/>
    </row>
    <row r="8" spans="1:9" ht="15" customHeight="1">
      <c r="A8" s="4" t="s">
        <v>52</v>
      </c>
      <c r="B8" s="4" t="s">
        <v>80</v>
      </c>
      <c r="C8" s="4"/>
      <c r="D8" s="4"/>
      <c r="E8" s="4"/>
      <c r="F8" s="4"/>
      <c r="G8" s="4"/>
      <c r="H8" s="4"/>
      <c r="I8" s="4"/>
    </row>
    <row r="9" spans="1:9" ht="15" customHeight="1">
      <c r="A9" s="4" t="s">
        <v>54</v>
      </c>
      <c r="B9" s="4" t="s">
        <v>81</v>
      </c>
      <c r="C9" s="4"/>
      <c r="D9" s="4"/>
      <c r="E9" s="4"/>
      <c r="F9" s="4"/>
      <c r="G9" s="4"/>
      <c r="H9" s="4"/>
      <c r="I9" s="4"/>
    </row>
    <row r="10" spans="1:9" ht="15" customHeight="1">
      <c r="A10" s="4" t="s">
        <v>58</v>
      </c>
      <c r="B10" s="4" t="s">
        <v>82</v>
      </c>
      <c r="C10" s="4"/>
      <c r="D10" s="4"/>
      <c r="E10" s="4"/>
      <c r="F10" s="4"/>
      <c r="G10" s="4"/>
      <c r="H10" s="4"/>
      <c r="I10" s="4"/>
    </row>
    <row r="11" spans="1:9" ht="15" customHeight="1">
      <c r="A11" s="4" t="s">
        <v>60</v>
      </c>
      <c r="B11" s="4" t="s">
        <v>83</v>
      </c>
      <c r="C11" s="4"/>
      <c r="D11" s="4"/>
      <c r="E11" s="4"/>
      <c r="F11" s="4"/>
      <c r="G11" s="4"/>
      <c r="H11" s="4"/>
      <c r="I11" s="4"/>
    </row>
    <row r="12" spans="1:9" ht="15" customHeight="1">
      <c r="A12" s="4" t="s">
        <v>60</v>
      </c>
      <c r="B12" s="4" t="s">
        <v>84</v>
      </c>
      <c r="C12" s="4"/>
      <c r="D12" s="4"/>
      <c r="E12" s="4"/>
      <c r="F12" s="4"/>
      <c r="G12" s="4"/>
      <c r="H12" s="4"/>
      <c r="I12" s="4"/>
    </row>
    <row r="13" spans="1:9" ht="15" customHeight="1">
      <c r="A13" s="4" t="s">
        <v>62</v>
      </c>
      <c r="B13" s="4" t="s">
        <v>85</v>
      </c>
      <c r="C13" s="4"/>
      <c r="D13" s="4"/>
      <c r="E13" s="4"/>
      <c r="F13" s="4"/>
      <c r="G13" s="4"/>
      <c r="H13" s="4"/>
      <c r="I13" s="4"/>
    </row>
  </sheetData>
  <dataValidations count="5">
    <dataValidation type="list" sqref="C2:C13" xr:uid="{00000000-0002-0000-0200-000000000000}">
      <formula1>"homogeneous,localized heterogeneity,distributed heterogeneity,indeterminate"</formula1>
    </dataValidation>
    <dataValidation type="list" sqref="D2:D13" xr:uid="{00000000-0002-0000-0200-000001000000}">
      <formula1>"none,localized,zoned,pervasive,indeterminate"</formula1>
    </dataValidation>
    <dataValidation type="list" sqref="E2:F13" xr:uid="{00000000-0002-0000-0200-000002000000}">
      <formula1>"absent,localized,distributed,pervasive,indeterminate"</formula1>
    </dataValidation>
    <dataValidation type="list" sqref="G2:G13" xr:uid="{00000000-0002-0000-0200-000003000000}">
      <formula1>"Homogeneous,Localized secondary domains,Distributed alteration,Indeterminate"</formula1>
    </dataValidation>
    <dataValidation type="list" sqref="H2:H13" xr:uid="{00000000-0002-0000-0200-000004000000}">
      <formula1>"high,moderate,low"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showGridLines="0" workbookViewId="0"/>
  </sheetViews>
  <sheetFormatPr baseColWidth="10" defaultColWidth="8.83203125" defaultRowHeight="14"/>
  <cols>
    <col min="1" max="1" width="18" customWidth="1"/>
    <col min="2" max="5" width="24" customWidth="1"/>
    <col min="6" max="6" width="19.1640625" customWidth="1"/>
    <col min="7" max="7" width="19.5" customWidth="1"/>
    <col min="8" max="10" width="24" customWidth="1"/>
  </cols>
  <sheetData>
    <row r="1" spans="1:10" ht="15" customHeight="1">
      <c r="A1" s="8" t="s">
        <v>16</v>
      </c>
      <c r="B1" s="8" t="s">
        <v>3</v>
      </c>
      <c r="C1" s="8" t="s">
        <v>86</v>
      </c>
      <c r="D1" s="8" t="s">
        <v>87</v>
      </c>
      <c r="E1" s="8" t="s">
        <v>88</v>
      </c>
      <c r="F1" s="8" t="s">
        <v>89</v>
      </c>
      <c r="G1" s="8" t="s">
        <v>90</v>
      </c>
      <c r="H1" s="8" t="s">
        <v>91</v>
      </c>
      <c r="I1" s="8" t="s">
        <v>92</v>
      </c>
      <c r="J1" s="8" t="s">
        <v>93</v>
      </c>
    </row>
    <row r="2" spans="1:10" ht="15" customHeight="1">
      <c r="A2" s="4" t="s">
        <v>30</v>
      </c>
      <c r="B2" s="4"/>
      <c r="C2" s="4"/>
      <c r="D2" s="4"/>
      <c r="E2" s="4"/>
      <c r="F2" s="9"/>
      <c r="G2" s="9"/>
      <c r="H2" s="4"/>
      <c r="I2" s="4"/>
      <c r="J2" s="4"/>
    </row>
    <row r="3" spans="1:10" ht="15" customHeight="1">
      <c r="A3" s="4" t="s">
        <v>34</v>
      </c>
      <c r="B3" s="4"/>
      <c r="C3" s="4"/>
      <c r="D3" s="4"/>
      <c r="E3" s="4"/>
      <c r="F3" s="9"/>
      <c r="G3" s="9"/>
      <c r="H3" s="4"/>
      <c r="I3" s="4"/>
      <c r="J3" s="4"/>
    </row>
    <row r="4" spans="1:10" ht="15" customHeight="1">
      <c r="A4" s="4" t="s">
        <v>36</v>
      </c>
      <c r="B4" s="4"/>
      <c r="C4" s="4"/>
      <c r="D4" s="4"/>
      <c r="E4" s="4"/>
      <c r="F4" s="9"/>
      <c r="G4" s="9"/>
      <c r="H4" s="4"/>
      <c r="I4" s="4"/>
      <c r="J4" s="4"/>
    </row>
    <row r="5" spans="1:10" ht="15" customHeight="1">
      <c r="A5" s="4" t="s">
        <v>38</v>
      </c>
      <c r="B5" s="4"/>
      <c r="C5" s="4"/>
      <c r="D5" s="4"/>
      <c r="E5" s="4"/>
      <c r="F5" s="9"/>
      <c r="G5" s="9"/>
      <c r="H5" s="4"/>
      <c r="I5" s="4"/>
      <c r="J5" s="4"/>
    </row>
    <row r="6" spans="1:10" ht="15" customHeight="1">
      <c r="A6" s="4" t="s">
        <v>40</v>
      </c>
      <c r="B6" s="4"/>
      <c r="C6" s="4"/>
      <c r="D6" s="4"/>
      <c r="E6" s="4"/>
      <c r="F6" s="9"/>
      <c r="G6" s="9"/>
      <c r="H6" s="4"/>
      <c r="I6" s="4"/>
      <c r="J6" s="4"/>
    </row>
    <row r="7" spans="1:10" ht="15" customHeight="1">
      <c r="A7" s="4" t="s">
        <v>42</v>
      </c>
      <c r="B7" s="4"/>
      <c r="C7" s="4"/>
      <c r="D7" s="4"/>
      <c r="E7" s="4"/>
      <c r="F7" s="9"/>
      <c r="G7" s="9"/>
      <c r="H7" s="4"/>
      <c r="I7" s="4"/>
      <c r="J7" s="4"/>
    </row>
    <row r="8" spans="1:10" ht="15" customHeight="1">
      <c r="A8" s="4" t="s">
        <v>44</v>
      </c>
      <c r="B8" s="4"/>
      <c r="C8" s="4"/>
      <c r="D8" s="4"/>
      <c r="E8" s="4"/>
      <c r="F8" s="9"/>
      <c r="G8" s="9"/>
      <c r="H8" s="4"/>
      <c r="I8" s="4"/>
      <c r="J8" s="4"/>
    </row>
    <row r="9" spans="1:10" ht="15" customHeight="1">
      <c r="A9" s="4" t="s">
        <v>46</v>
      </c>
      <c r="B9" s="4"/>
      <c r="C9" s="4"/>
      <c r="D9" s="4"/>
      <c r="E9" s="4"/>
      <c r="F9" s="9"/>
      <c r="G9" s="9"/>
      <c r="H9" s="4"/>
      <c r="I9" s="4"/>
      <c r="J9" s="4"/>
    </row>
    <row r="10" spans="1:10" ht="15" customHeight="1">
      <c r="A10" s="4" t="s">
        <v>48</v>
      </c>
      <c r="B10" s="4"/>
      <c r="C10" s="4"/>
      <c r="D10" s="4"/>
      <c r="E10" s="4"/>
      <c r="F10" s="9"/>
      <c r="G10" s="9"/>
      <c r="H10" s="4"/>
      <c r="I10" s="4"/>
      <c r="J10" s="4"/>
    </row>
    <row r="11" spans="1:10" ht="15" customHeight="1">
      <c r="A11" s="4" t="s">
        <v>50</v>
      </c>
      <c r="B11" s="4"/>
      <c r="C11" s="4"/>
      <c r="D11" s="4"/>
      <c r="E11" s="4"/>
      <c r="F11" s="9"/>
      <c r="G11" s="9"/>
      <c r="H11" s="4"/>
      <c r="I11" s="4"/>
      <c r="J11" s="4"/>
    </row>
    <row r="12" spans="1:10" ht="15" customHeight="1">
      <c r="A12" s="4" t="s">
        <v>52</v>
      </c>
      <c r="B12" s="4"/>
      <c r="C12" s="4"/>
      <c r="D12" s="4"/>
      <c r="E12" s="4"/>
      <c r="F12" s="9"/>
      <c r="G12" s="9"/>
      <c r="H12" s="4"/>
      <c r="I12" s="4"/>
      <c r="J12" s="4"/>
    </row>
    <row r="13" spans="1:10" ht="15" customHeight="1">
      <c r="A13" s="4" t="s">
        <v>54</v>
      </c>
      <c r="B13" s="4"/>
      <c r="C13" s="4"/>
      <c r="D13" s="4"/>
      <c r="E13" s="4"/>
      <c r="F13" s="9"/>
      <c r="G13" s="9"/>
      <c r="H13" s="4"/>
      <c r="I13" s="4"/>
      <c r="J13" s="4"/>
    </row>
    <row r="14" spans="1:10" ht="15" customHeight="1">
      <c r="A14" s="4" t="s">
        <v>56</v>
      </c>
      <c r="B14" s="4"/>
      <c r="C14" s="4"/>
      <c r="D14" s="4"/>
      <c r="E14" s="4"/>
      <c r="F14" s="9"/>
      <c r="G14" s="9"/>
      <c r="H14" s="4"/>
      <c r="I14" s="4"/>
      <c r="J14" s="4"/>
    </row>
    <row r="15" spans="1:10" ht="15" customHeight="1">
      <c r="A15" s="4" t="s">
        <v>58</v>
      </c>
      <c r="B15" s="4"/>
      <c r="C15" s="4"/>
      <c r="D15" s="4"/>
      <c r="E15" s="4"/>
      <c r="F15" s="9"/>
      <c r="G15" s="9"/>
      <c r="H15" s="4"/>
      <c r="I15" s="4"/>
      <c r="J15" s="4"/>
    </row>
    <row r="16" spans="1:10" ht="15" customHeight="1">
      <c r="A16" s="4" t="s">
        <v>60</v>
      </c>
      <c r="B16" s="4"/>
      <c r="C16" s="4"/>
      <c r="D16" s="4"/>
      <c r="E16" s="4"/>
      <c r="F16" s="9"/>
      <c r="G16" s="9"/>
      <c r="H16" s="4"/>
      <c r="I16" s="4"/>
      <c r="J16" s="4"/>
    </row>
    <row r="17" spans="1:10" ht="15" customHeight="1">
      <c r="A17" s="4" t="s">
        <v>62</v>
      </c>
      <c r="B17" s="4"/>
      <c r="C17" s="4"/>
      <c r="D17" s="4"/>
      <c r="E17" s="4"/>
      <c r="F17" s="9"/>
      <c r="G17" s="9"/>
      <c r="H17" s="4"/>
      <c r="I17" s="4"/>
      <c r="J17" s="4"/>
    </row>
    <row r="18" spans="1:10" ht="15" customHeight="1">
      <c r="A18" s="4" t="s">
        <v>64</v>
      </c>
      <c r="B18" s="4"/>
      <c r="C18" s="4"/>
      <c r="D18" s="4"/>
      <c r="E18" s="4"/>
      <c r="F18" s="9"/>
      <c r="G18" s="9"/>
      <c r="H18" s="4"/>
      <c r="I18" s="4"/>
      <c r="J18" s="4"/>
    </row>
    <row r="19" spans="1:10" ht="15" customHeight="1">
      <c r="A19" s="4" t="s">
        <v>66</v>
      </c>
      <c r="B19" s="4"/>
      <c r="C19" s="4"/>
      <c r="D19" s="4"/>
      <c r="E19" s="4"/>
      <c r="F19" s="9"/>
      <c r="G19" s="9"/>
      <c r="H19" s="4"/>
      <c r="I19" s="4"/>
      <c r="J19" s="4"/>
    </row>
  </sheetData>
  <dataValidations count="6">
    <dataValidation type="list" sqref="B2:B19" xr:uid="{00000000-0002-0000-0300-000000000000}">
      <formula1>"Preserved,Mixed,Altered,Indeterminate"</formula1>
    </dataValidation>
    <dataValidation type="list" sqref="C2:C19" xr:uid="{00000000-0002-0000-0300-000001000000}">
      <formula1>"&lt;10%,10–30%,30–60%,&gt;60%,indeterminate"</formula1>
    </dataValidation>
    <dataValidation type="list" sqref="D2:D19" xr:uid="{00000000-0002-0000-0300-000002000000}">
      <formula1>"Homogeneous,Localized secondary domains,Distributed alteration,No EMPA,Indeterminate"</formula1>
    </dataValidation>
    <dataValidation type="list" sqref="E2:E19" xr:uid="{00000000-0002-0000-0300-000003000000}">
      <formula1>"Directly supported,Alteration-sensitive,Directly excluded,Unresolved"</formula1>
    </dataValidation>
    <dataValidation type="list" sqref="H2:H19" xr:uid="{00000000-0002-0000-0300-000004000000}">
      <formula1>"Primary,Sensitivity-only,Exclude,Pending"</formula1>
    </dataValidation>
    <dataValidation type="list" sqref="J2:J19" xr:uid="{00000000-0002-0000-0300-000005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9"/>
  <sheetViews>
    <sheetView showGridLines="0" workbookViewId="0"/>
  </sheetViews>
  <sheetFormatPr baseColWidth="10" defaultColWidth="8.83203125" defaultRowHeight="14"/>
  <cols>
    <col min="1" max="10" width="18" customWidth="1"/>
    <col min="11" max="11" width="30" customWidth="1"/>
    <col min="12" max="12" width="10" customWidth="1"/>
  </cols>
  <sheetData>
    <row r="1" spans="1:12" ht="15" customHeight="1">
      <c r="A1" s="10" t="s">
        <v>16</v>
      </c>
      <c r="B1" s="10" t="s">
        <v>94</v>
      </c>
      <c r="C1" s="10" t="s">
        <v>95</v>
      </c>
      <c r="D1" s="10" t="s">
        <v>96</v>
      </c>
      <c r="E1" s="10" t="s">
        <v>97</v>
      </c>
      <c r="F1" s="10" t="s">
        <v>98</v>
      </c>
      <c r="G1" s="10" t="s">
        <v>99</v>
      </c>
      <c r="H1" s="10" t="s">
        <v>100</v>
      </c>
      <c r="I1" s="10" t="s">
        <v>101</v>
      </c>
      <c r="J1" s="10" t="s">
        <v>102</v>
      </c>
      <c r="K1" s="10" t="s">
        <v>103</v>
      </c>
      <c r="L1" s="10" t="s">
        <v>104</v>
      </c>
    </row>
    <row r="2" spans="1:12" ht="15" customHeight="1">
      <c r="A2" s="4" t="s">
        <v>30</v>
      </c>
      <c r="B2" s="11">
        <v>1325</v>
      </c>
      <c r="C2" s="11">
        <v>56.336547486033517</v>
      </c>
      <c r="D2" s="11">
        <v>36.760128072734794</v>
      </c>
      <c r="E2" s="11">
        <v>1.5838831595200955</v>
      </c>
      <c r="F2" s="11">
        <v>20.940672022499999</v>
      </c>
      <c r="G2" s="12">
        <v>-89.095803135000011</v>
      </c>
      <c r="H2" s="4" t="s">
        <v>105</v>
      </c>
      <c r="I2" s="4" t="s">
        <v>106</v>
      </c>
      <c r="J2" s="11">
        <v>0.57262892543489108</v>
      </c>
      <c r="K2" s="4" t="s">
        <v>107</v>
      </c>
      <c r="L2" s="4">
        <v>1</v>
      </c>
    </row>
    <row r="3" spans="1:12" ht="15" customHeight="1">
      <c r="A3" s="4" t="s">
        <v>34</v>
      </c>
      <c r="B3" s="11">
        <v>1750</v>
      </c>
      <c r="C3" s="11">
        <v>55.294229050279327</v>
      </c>
      <c r="D3" s="11">
        <v>19.730323956092377</v>
      </c>
      <c r="E3" s="11">
        <v>1.8912522223357531</v>
      </c>
      <c r="F3" s="11">
        <v>22.311182479999999</v>
      </c>
      <c r="G3" s="12">
        <v>-96.204968655000002</v>
      </c>
      <c r="H3" s="4" t="s">
        <v>105</v>
      </c>
      <c r="I3" s="4" t="s">
        <v>106</v>
      </c>
      <c r="J3" s="11">
        <v>0.05</v>
      </c>
      <c r="K3" s="4" t="s">
        <v>108</v>
      </c>
      <c r="L3" s="4">
        <v>1</v>
      </c>
    </row>
    <row r="4" spans="1:12" ht="15" customHeight="1">
      <c r="A4" s="4" t="s">
        <v>36</v>
      </c>
      <c r="B4" s="11">
        <v>1720</v>
      </c>
      <c r="C4" s="11">
        <v>55.367804469273743</v>
      </c>
      <c r="D4" s="11">
        <v>37.218054185079701</v>
      </c>
      <c r="E4" s="11">
        <v>1.9021226052379905</v>
      </c>
      <c r="F4" s="11">
        <v>21.928358916666667</v>
      </c>
      <c r="G4" s="12">
        <v>-109.39212958666668</v>
      </c>
      <c r="H4" s="4" t="s">
        <v>109</v>
      </c>
      <c r="I4" s="4" t="s">
        <v>106</v>
      </c>
      <c r="J4" s="11">
        <v>0.17639681087176173</v>
      </c>
      <c r="K4" s="4" t="s">
        <v>110</v>
      </c>
      <c r="L4" s="4">
        <v>0</v>
      </c>
    </row>
    <row r="5" spans="1:12" ht="15" customHeight="1">
      <c r="A5" s="4" t="s">
        <v>38</v>
      </c>
      <c r="B5" s="11">
        <v>1355</v>
      </c>
      <c r="C5" s="11">
        <v>56.262972067039108</v>
      </c>
      <c r="D5" s="11">
        <v>43.742052682328797</v>
      </c>
      <c r="E5" s="11">
        <v>2.1964863029504302</v>
      </c>
      <c r="F5" s="11">
        <v>22.2888823975</v>
      </c>
      <c r="G5" s="12">
        <v>-83.226198929999995</v>
      </c>
      <c r="H5" s="4" t="s">
        <v>105</v>
      </c>
      <c r="I5" s="4" t="s">
        <v>106</v>
      </c>
      <c r="J5" s="11">
        <v>0.05</v>
      </c>
      <c r="K5" s="4" t="s">
        <v>111</v>
      </c>
      <c r="L5" s="4">
        <v>2</v>
      </c>
    </row>
    <row r="6" spans="1:12" ht="15" customHeight="1">
      <c r="A6" s="4" t="s">
        <v>40</v>
      </c>
      <c r="B6" s="11">
        <v>1080</v>
      </c>
      <c r="C6" s="11">
        <v>56.937413407821225</v>
      </c>
      <c r="D6" s="11">
        <v>31.007918465397829</v>
      </c>
      <c r="E6" s="11">
        <v>2.5427599806218639</v>
      </c>
      <c r="F6" s="11">
        <v>22.401822687999999</v>
      </c>
      <c r="G6" s="12">
        <v>-93.131688034999996</v>
      </c>
      <c r="H6" s="4" t="s">
        <v>105</v>
      </c>
      <c r="I6" s="4" t="s">
        <v>106</v>
      </c>
      <c r="J6" s="11">
        <v>0.05</v>
      </c>
      <c r="K6" s="4" t="s">
        <v>112</v>
      </c>
      <c r="L6" s="4">
        <v>0</v>
      </c>
    </row>
    <row r="7" spans="1:12" ht="15" customHeight="1">
      <c r="A7" s="4" t="s">
        <v>42</v>
      </c>
      <c r="B7" s="11">
        <v>940</v>
      </c>
      <c r="C7" s="11">
        <v>57.280765363128488</v>
      </c>
      <c r="D7" s="11">
        <v>29.533333333333335</v>
      </c>
      <c r="E7" s="11">
        <v>1.4437605218471812</v>
      </c>
      <c r="F7" s="11">
        <v>22.286145233333333</v>
      </c>
      <c r="G7" s="12">
        <v>-93.684039139999996</v>
      </c>
      <c r="H7" s="4" t="s">
        <v>109</v>
      </c>
      <c r="I7" s="4" t="s">
        <v>106</v>
      </c>
      <c r="J7" s="11">
        <v>0.05</v>
      </c>
      <c r="K7" s="4" t="s">
        <v>113</v>
      </c>
      <c r="L7" s="4">
        <v>0</v>
      </c>
    </row>
    <row r="8" spans="1:12" ht="15" customHeight="1">
      <c r="A8" s="4" t="s">
        <v>44</v>
      </c>
      <c r="B8" s="11">
        <v>1460</v>
      </c>
      <c r="C8" s="11">
        <v>56.005458100558656</v>
      </c>
      <c r="D8" s="11"/>
      <c r="E8" s="11"/>
      <c r="F8" s="11"/>
      <c r="G8" s="12">
        <v>-106.687022085</v>
      </c>
      <c r="H8" s="4" t="s">
        <v>105</v>
      </c>
      <c r="I8" s="4" t="s">
        <v>106</v>
      </c>
      <c r="J8" s="11"/>
      <c r="K8" s="4" t="s">
        <v>114</v>
      </c>
      <c r="L8" s="4">
        <v>0</v>
      </c>
    </row>
    <row r="9" spans="1:12" ht="15" customHeight="1">
      <c r="A9" s="4" t="s">
        <v>46</v>
      </c>
      <c r="B9" s="11">
        <v>1495</v>
      </c>
      <c r="C9" s="11">
        <v>55.919620111731845</v>
      </c>
      <c r="D9" s="11">
        <v>34.033333333333331</v>
      </c>
      <c r="E9" s="11">
        <v>2.3182848065853432</v>
      </c>
      <c r="F9" s="11">
        <v>22.228742296666667</v>
      </c>
      <c r="G9" s="12">
        <v>-98.505231358000003</v>
      </c>
      <c r="H9" s="4" t="s">
        <v>105</v>
      </c>
      <c r="I9" s="4" t="s">
        <v>106</v>
      </c>
      <c r="J9" s="11">
        <v>5.5891474069210752E-2</v>
      </c>
      <c r="K9" s="4" t="s">
        <v>115</v>
      </c>
      <c r="L9" s="4">
        <v>0</v>
      </c>
    </row>
    <row r="10" spans="1:12" ht="15" customHeight="1">
      <c r="A10" s="4" t="s">
        <v>48</v>
      </c>
      <c r="B10" s="11">
        <v>590</v>
      </c>
      <c r="C10" s="11">
        <v>58.465750788643533</v>
      </c>
      <c r="D10" s="11">
        <v>54.834847008868529</v>
      </c>
      <c r="E10" s="11">
        <v>1.0348470088685318</v>
      </c>
      <c r="F10" s="11">
        <v>16.86139755</v>
      </c>
      <c r="G10" s="12"/>
      <c r="H10" s="4"/>
      <c r="I10" s="4" t="s">
        <v>116</v>
      </c>
      <c r="J10" s="11">
        <v>1</v>
      </c>
      <c r="K10" s="4" t="s">
        <v>117</v>
      </c>
      <c r="L10" s="4">
        <v>0</v>
      </c>
    </row>
    <row r="11" spans="1:12" ht="15" customHeight="1">
      <c r="A11" s="4" t="s">
        <v>50</v>
      </c>
      <c r="B11" s="11">
        <v>520</v>
      </c>
      <c r="C11" s="11">
        <v>58.753479495268138</v>
      </c>
      <c r="D11" s="11">
        <v>41.329318893459948</v>
      </c>
      <c r="E11" s="11">
        <v>2.9418041197843698</v>
      </c>
      <c r="F11" s="11">
        <v>21.240005140000001</v>
      </c>
      <c r="G11" s="12">
        <v>-103.0368666</v>
      </c>
      <c r="H11" s="4" t="s">
        <v>105</v>
      </c>
      <c r="I11" s="4" t="s">
        <v>106</v>
      </c>
      <c r="J11" s="11">
        <v>0.45254492431440529</v>
      </c>
      <c r="K11" s="4" t="s">
        <v>118</v>
      </c>
      <c r="L11" s="4">
        <v>2</v>
      </c>
    </row>
    <row r="12" spans="1:12" ht="15" customHeight="1">
      <c r="A12" s="4" t="s">
        <v>52</v>
      </c>
      <c r="B12" s="11">
        <v>1525</v>
      </c>
      <c r="C12" s="11">
        <v>55.846044692737429</v>
      </c>
      <c r="D12" s="11">
        <v>42.00605409624572</v>
      </c>
      <c r="E12" s="11">
        <v>3.0991057771666601</v>
      </c>
      <c r="F12" s="11">
        <v>20.66934256857143</v>
      </c>
      <c r="G12" s="12">
        <v>-96.873087455000004</v>
      </c>
      <c r="H12" s="4" t="s">
        <v>105</v>
      </c>
      <c r="I12" s="4" t="s">
        <v>106</v>
      </c>
      <c r="J12" s="11">
        <v>0.68147864684795501</v>
      </c>
      <c r="K12" s="4" t="s">
        <v>119</v>
      </c>
      <c r="L12" s="4">
        <v>1</v>
      </c>
    </row>
    <row r="13" spans="1:12" ht="15" customHeight="1">
      <c r="A13" s="4" t="s">
        <v>54</v>
      </c>
      <c r="B13" s="11">
        <v>680</v>
      </c>
      <c r="C13" s="11">
        <v>58.095813880126187</v>
      </c>
      <c r="D13" s="11">
        <v>46.308040640492578</v>
      </c>
      <c r="E13" s="11">
        <v>2.8263246359140868</v>
      </c>
      <c r="F13" s="11">
        <v>21.332410877499999</v>
      </c>
      <c r="G13" s="12">
        <v>-99.120450324999993</v>
      </c>
      <c r="H13" s="4" t="s">
        <v>105</v>
      </c>
      <c r="I13" s="4" t="s">
        <v>106</v>
      </c>
      <c r="J13" s="11">
        <v>0.41547434963771901</v>
      </c>
      <c r="K13" s="4" t="s">
        <v>120</v>
      </c>
      <c r="L13" s="4">
        <v>1</v>
      </c>
    </row>
    <row r="14" spans="1:12" ht="15" customHeight="1">
      <c r="A14" s="4" t="s">
        <v>56</v>
      </c>
      <c r="B14" s="11">
        <v>1760</v>
      </c>
      <c r="C14" s="11">
        <v>55.269703910614524</v>
      </c>
      <c r="D14" s="11">
        <v>27.7446023852224</v>
      </c>
      <c r="E14" s="11">
        <v>2.0455501280454627</v>
      </c>
      <c r="F14" s="11">
        <v>22.240902542000001</v>
      </c>
      <c r="G14" s="12">
        <v>-113.88962045</v>
      </c>
      <c r="H14" s="4" t="s">
        <v>105</v>
      </c>
      <c r="I14" s="4" t="s">
        <v>106</v>
      </c>
      <c r="J14" s="11">
        <v>5.1013126740223888E-2</v>
      </c>
      <c r="K14" s="4" t="s">
        <v>119</v>
      </c>
      <c r="L14" s="4">
        <v>0</v>
      </c>
    </row>
    <row r="15" spans="1:12" ht="15" customHeight="1">
      <c r="A15" s="4" t="s">
        <v>58</v>
      </c>
      <c r="B15" s="11">
        <v>1570</v>
      </c>
      <c r="C15" s="11">
        <v>55.735681564245809</v>
      </c>
      <c r="D15" s="11">
        <v>50.859067172058211</v>
      </c>
      <c r="E15" s="11">
        <v>9.1089903732926576</v>
      </c>
      <c r="F15" s="11">
        <v>22.660551765000001</v>
      </c>
      <c r="G15" s="12">
        <v>-118.1078065</v>
      </c>
      <c r="H15" s="4" t="s">
        <v>109</v>
      </c>
      <c r="I15" s="4" t="s">
        <v>116</v>
      </c>
      <c r="J15" s="11">
        <v>0.05</v>
      </c>
      <c r="K15" s="4" t="s">
        <v>121</v>
      </c>
      <c r="L15" s="4">
        <v>1</v>
      </c>
    </row>
    <row r="16" spans="1:12" ht="15" customHeight="1">
      <c r="A16" s="4" t="s">
        <v>60</v>
      </c>
      <c r="B16" s="11">
        <v>1600</v>
      </c>
      <c r="C16" s="11">
        <v>55.662106145251393</v>
      </c>
      <c r="D16" s="11">
        <v>25.725475983276663</v>
      </c>
      <c r="E16" s="11">
        <v>1.8741350436912063</v>
      </c>
      <c r="F16" s="11">
        <v>22.138661776666662</v>
      </c>
      <c r="G16" s="12">
        <v>-99.361549120000006</v>
      </c>
      <c r="H16" s="4" t="s">
        <v>109</v>
      </c>
      <c r="I16" s="4" t="s">
        <v>106</v>
      </c>
      <c r="J16" s="11">
        <v>9.2029237090418742E-2</v>
      </c>
      <c r="K16" s="4" t="s">
        <v>122</v>
      </c>
      <c r="L16" s="4">
        <v>2</v>
      </c>
    </row>
    <row r="17" spans="1:12" ht="15" customHeight="1">
      <c r="A17" s="4" t="s">
        <v>62</v>
      </c>
      <c r="B17" s="11">
        <v>1425</v>
      </c>
      <c r="C17" s="11">
        <v>56.091296089385473</v>
      </c>
      <c r="D17" s="11">
        <v>36.130456750462002</v>
      </c>
      <c r="E17" s="11">
        <v>1.6360927068793003</v>
      </c>
      <c r="F17" s="11">
        <v>21.34606428</v>
      </c>
      <c r="G17" s="12">
        <v>-138.45066510000001</v>
      </c>
      <c r="H17" s="4" t="s">
        <v>109</v>
      </c>
      <c r="I17" s="4" t="s">
        <v>106</v>
      </c>
      <c r="J17" s="11">
        <v>0.40999698978257854</v>
      </c>
      <c r="K17" s="4" t="s">
        <v>123</v>
      </c>
      <c r="L17" s="4">
        <v>1</v>
      </c>
    </row>
    <row r="18" spans="1:12" ht="15" customHeight="1">
      <c r="A18" s="4" t="s">
        <v>64</v>
      </c>
      <c r="B18" s="11">
        <v>1700</v>
      </c>
      <c r="C18" s="11">
        <v>55.416854748603349</v>
      </c>
      <c r="D18" s="11"/>
      <c r="E18" s="11"/>
      <c r="F18" s="11"/>
      <c r="G18" s="12">
        <v>-83.405109479999993</v>
      </c>
      <c r="H18" s="4" t="s">
        <v>105</v>
      </c>
      <c r="I18" s="4" t="s">
        <v>106</v>
      </c>
      <c r="J18" s="11"/>
      <c r="K18" s="4" t="s">
        <v>124</v>
      </c>
      <c r="L18" s="4">
        <v>0</v>
      </c>
    </row>
    <row r="19" spans="1:12" ht="15" customHeight="1">
      <c r="A19" s="4" t="s">
        <v>66</v>
      </c>
      <c r="B19" s="11">
        <v>1495</v>
      </c>
      <c r="C19" s="11">
        <v>55.919620111731845</v>
      </c>
      <c r="D19" s="11"/>
      <c r="E19" s="11"/>
      <c r="F19" s="11"/>
      <c r="G19" s="12"/>
      <c r="H19" s="4"/>
      <c r="I19" s="4" t="s">
        <v>106</v>
      </c>
      <c r="J19" s="11"/>
      <c r="K19" s="4" t="s">
        <v>125</v>
      </c>
      <c r="L19" s="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Petrography scoring</vt:lpstr>
      <vt:lpstr>EMPA scoring</vt:lpstr>
      <vt:lpstr>Synthesis</vt:lpstr>
      <vt:lpstr>Isotope 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Allen</cp:lastModifiedBy>
  <dcterms:modified xsi:type="dcterms:W3CDTF">2026-09-02T14:47:25Z</dcterms:modified>
</cp:coreProperties>
</file>